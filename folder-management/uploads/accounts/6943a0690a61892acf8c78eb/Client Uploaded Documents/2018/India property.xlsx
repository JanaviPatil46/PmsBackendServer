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argo\Desktop\Personal\Taxes 2019\"/>
    </mc:Choice>
  </mc:AlternateContent>
  <xr:revisionPtr revIDLastSave="0" documentId="13_ncr:1_{FB724B52-300E-4447-A87C-FB487B1FB8E8}" xr6:coauthVersionLast="36" xr6:coauthVersionMax="36" xr10:uidLastSave="{00000000-0000-0000-0000-000000000000}"/>
  <bookViews>
    <workbookView xWindow="0" yWindow="0" windowWidth="17256" windowHeight="5064" xr2:uid="{3D22A521-C738-4A6B-9192-FEEECCF32E20}"/>
  </bookViews>
  <sheets>
    <sheet name="Sheet1 (2)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7" i="3" l="1"/>
  <c r="G7" i="3"/>
  <c r="F7" i="3"/>
  <c r="D7" i="3"/>
  <c r="C6" i="3"/>
  <c r="C7" i="3" s="1"/>
  <c r="E5" i="3"/>
  <c r="C5" i="3"/>
  <c r="E4" i="3"/>
  <c r="C4" i="3"/>
  <c r="E3" i="3"/>
  <c r="E7" i="3" s="1"/>
  <c r="C3" i="3"/>
  <c r="N8" i="3" l="1"/>
  <c r="N9" i="3" s="1"/>
  <c r="C6" i="1"/>
  <c r="C7" i="1" s="1"/>
  <c r="N8" i="1" s="1"/>
  <c r="I7" i="1"/>
  <c r="F7" i="1"/>
  <c r="E7" i="1"/>
  <c r="D7" i="1"/>
  <c r="E5" i="1"/>
  <c r="E4" i="1"/>
  <c r="G7" i="1"/>
  <c r="E3" i="1"/>
  <c r="C4" i="1"/>
  <c r="C5" i="1"/>
  <c r="C3" i="1"/>
  <c r="N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kamargo</author>
  </authors>
  <commentList>
    <comment ref="F3" authorId="0" shapeId="0" xr:uid="{38E6447C-DFE1-4DFD-BCB0-51CA6882B9DA}">
      <text>
        <r>
          <rPr>
            <b/>
            <sz val="9"/>
            <color indexed="81"/>
            <rFont val="Tahoma"/>
            <charset val="1"/>
          </rPr>
          <t>kamargo:</t>
        </r>
        <r>
          <rPr>
            <sz val="9"/>
            <color indexed="81"/>
            <rFont val="Tahoma"/>
            <charset val="1"/>
          </rPr>
          <t xml:space="preserve">
paid 08/07/2019
stamp, transfer, registration, user duty</t>
        </r>
      </text>
    </comment>
    <comment ref="F4" authorId="0" shapeId="0" xr:uid="{EEF956D7-4FD8-4F39-BD7E-3F2A76DCB9D4}">
      <text>
        <r>
          <rPr>
            <b/>
            <sz val="9"/>
            <color indexed="81"/>
            <rFont val="Tahoma"/>
            <charset val="1"/>
          </rPr>
          <t>kamargo:</t>
        </r>
        <r>
          <rPr>
            <sz val="9"/>
            <color indexed="81"/>
            <rFont val="Tahoma"/>
            <charset val="1"/>
          </rPr>
          <t xml:space="preserve">
paid 08/07/2019
stamp, transfer, registration, user duty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kamargo</author>
  </authors>
  <commentList>
    <comment ref="F3" authorId="0" shapeId="0" xr:uid="{26B1E98D-AC63-4DAF-9E3E-0013AA42D31C}">
      <text>
        <r>
          <rPr>
            <b/>
            <sz val="9"/>
            <color indexed="81"/>
            <rFont val="Tahoma"/>
            <charset val="1"/>
          </rPr>
          <t>kamargo:</t>
        </r>
        <r>
          <rPr>
            <sz val="9"/>
            <color indexed="81"/>
            <rFont val="Tahoma"/>
            <charset val="1"/>
          </rPr>
          <t xml:space="preserve">
paid 08/07/2019
stamp, transfer, registration, user duty</t>
        </r>
      </text>
    </comment>
    <comment ref="F4" authorId="0" shapeId="0" xr:uid="{07764229-A340-49D3-A6FE-84F391804ED1}">
      <text>
        <r>
          <rPr>
            <b/>
            <sz val="9"/>
            <color indexed="81"/>
            <rFont val="Tahoma"/>
            <charset val="1"/>
          </rPr>
          <t>kamargo:</t>
        </r>
        <r>
          <rPr>
            <sz val="9"/>
            <color indexed="81"/>
            <rFont val="Tahoma"/>
            <charset val="1"/>
          </rPr>
          <t xml:space="preserve">
paid 08/07/2019
stamp, transfer, registration, user duty</t>
        </r>
      </text>
    </comment>
  </commentList>
</comments>
</file>

<file path=xl/sharedStrings.xml><?xml version="1.0" encoding="utf-8"?>
<sst xmlns="http://schemas.openxmlformats.org/spreadsheetml/2006/main" count="38" uniqueCount="16">
  <si>
    <t>Cost of land</t>
  </si>
  <si>
    <t>Expenses: construction</t>
  </si>
  <si>
    <t>Selling Prices</t>
  </si>
  <si>
    <t>Date sold</t>
  </si>
  <si>
    <t>Taxes paid</t>
  </si>
  <si>
    <t>Property</t>
  </si>
  <si>
    <t>Date taxes paid</t>
  </si>
  <si>
    <t>Other Expenses</t>
  </si>
  <si>
    <t>Expenses: sales commission (2% of sale price)</t>
  </si>
  <si>
    <t>Interest</t>
  </si>
  <si>
    <t>Date</t>
  </si>
  <si>
    <t>Tax deducted</t>
  </si>
  <si>
    <t>withdrawal</t>
  </si>
  <si>
    <t>Total</t>
  </si>
  <si>
    <t>gain</t>
  </si>
  <si>
    <t>%taxes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</si>
</sst>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Border="1"/>
    <xf numFmtId="14" fontId="0" fillId="0" borderId="0" xfId="0" applyNumberFormat="1"/>
    <xf numFmtId="1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/>
    <xf numFmtId="14" fontId="0" fillId="0" borderId="9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4" fontId="0" fillId="0" borderId="8" xfId="0" applyNumberFormat="1" applyBorder="1"/>
    <xf numFmtId="14" fontId="0" fillId="0" borderId="1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4715D-E21B-471C-B422-F6F2D96C818F}">
  <dimension ref="B1:N14"/>
  <sheetViews>
    <sheetView tabSelected="1" workbookViewId="0">
      <selection activeCell="B2" sqref="B2:L7"/>
    </sheetView>
  </sheetViews>
  <sheetFormatPr defaultRowHeight="14.4" x14ac:dyDescent="0.3"/>
  <cols>
    <col min="2" max="2" width="10.88671875" customWidth="1"/>
    <col min="3" max="3" width="13.109375" customWidth="1"/>
    <col min="4" max="5" width="14.33203125" customWidth="1"/>
    <col min="6" max="6" width="19.21875" customWidth="1"/>
    <col min="7" max="7" width="12.77734375" customWidth="1"/>
    <col min="8" max="8" width="11" customWidth="1"/>
    <col min="9" max="9" width="11.33203125" customWidth="1"/>
    <col min="10" max="10" width="11.77734375" customWidth="1"/>
    <col min="14" max="14" width="9.5546875" bestFit="1" customWidth="1"/>
  </cols>
  <sheetData>
    <row r="1" spans="2:14" ht="15" thickBot="1" x14ac:dyDescent="0.35"/>
    <row r="2" spans="2:14" s="1" customFormat="1" ht="43.2" x14ac:dyDescent="0.3">
      <c r="B2" s="9" t="s">
        <v>5</v>
      </c>
      <c r="C2" s="10" t="s">
        <v>0</v>
      </c>
      <c r="D2" s="10" t="s">
        <v>1</v>
      </c>
      <c r="E2" s="10" t="s">
        <v>8</v>
      </c>
      <c r="F2" s="10" t="s">
        <v>7</v>
      </c>
      <c r="G2" s="10" t="s">
        <v>2</v>
      </c>
      <c r="H2" s="10" t="s">
        <v>3</v>
      </c>
      <c r="I2" s="10" t="s">
        <v>4</v>
      </c>
      <c r="J2" s="10" t="s">
        <v>6</v>
      </c>
      <c r="K2" s="10" t="s">
        <v>4</v>
      </c>
      <c r="L2" s="11" t="s">
        <v>6</v>
      </c>
      <c r="M2" s="1" t="s">
        <v>12</v>
      </c>
      <c r="N2" s="1" t="s">
        <v>10</v>
      </c>
    </row>
    <row r="3" spans="2:14" x14ac:dyDescent="0.3">
      <c r="B3" s="12">
        <v>32</v>
      </c>
      <c r="C3" s="2">
        <f>532500/4</f>
        <v>133125</v>
      </c>
      <c r="D3" s="2">
        <v>2500000</v>
      </c>
      <c r="E3" s="2">
        <f>G3*0.02</f>
        <v>170000</v>
      </c>
      <c r="F3" s="2">
        <v>510000</v>
      </c>
      <c r="G3" s="2">
        <v>8500000</v>
      </c>
      <c r="H3" s="5">
        <v>43669</v>
      </c>
      <c r="I3" s="2">
        <v>1362400</v>
      </c>
      <c r="J3" s="5">
        <v>43682</v>
      </c>
      <c r="K3" s="2">
        <v>405600</v>
      </c>
      <c r="L3" s="13">
        <v>43648</v>
      </c>
      <c r="M3" s="3"/>
      <c r="N3" s="4"/>
    </row>
    <row r="4" spans="2:14" x14ac:dyDescent="0.3">
      <c r="B4" s="12">
        <v>33</v>
      </c>
      <c r="C4" s="2">
        <f t="shared" ref="C4:C6" si="0">532500/4</f>
        <v>133125</v>
      </c>
      <c r="D4" s="2">
        <v>2500000</v>
      </c>
      <c r="E4" s="2">
        <f t="shared" ref="E4:E5" si="1">G4*0.02</f>
        <v>170000</v>
      </c>
      <c r="F4" s="2">
        <v>510000</v>
      </c>
      <c r="G4" s="2">
        <v>8500000</v>
      </c>
      <c r="H4" s="5">
        <v>43749</v>
      </c>
      <c r="I4" s="3">
        <v>1768000</v>
      </c>
      <c r="J4" s="4">
        <v>43741</v>
      </c>
      <c r="K4" s="2"/>
      <c r="L4" s="14"/>
    </row>
    <row r="5" spans="2:14" x14ac:dyDescent="0.3">
      <c r="B5" s="12">
        <v>34</v>
      </c>
      <c r="C5" s="2">
        <f t="shared" si="0"/>
        <v>133125</v>
      </c>
      <c r="D5" s="2">
        <v>2500000</v>
      </c>
      <c r="E5" s="2">
        <f t="shared" si="1"/>
        <v>170000</v>
      </c>
      <c r="F5" s="2">
        <v>510000</v>
      </c>
      <c r="G5" s="2">
        <v>8500000</v>
      </c>
      <c r="H5" s="5">
        <v>43384</v>
      </c>
      <c r="I5" s="2">
        <v>275000</v>
      </c>
      <c r="J5" s="5">
        <v>43512</v>
      </c>
      <c r="K5" s="2"/>
      <c r="L5" s="14"/>
      <c r="M5" s="3"/>
    </row>
    <row r="6" spans="2:14" ht="15" thickBot="1" x14ac:dyDescent="0.35">
      <c r="B6" s="15">
        <v>35</v>
      </c>
      <c r="C6" s="2">
        <f t="shared" si="0"/>
        <v>133125</v>
      </c>
      <c r="D6" s="16"/>
      <c r="E6" s="16"/>
      <c r="F6" s="16"/>
      <c r="G6" s="16"/>
      <c r="H6" s="16"/>
      <c r="I6" s="16"/>
      <c r="J6" s="16"/>
      <c r="K6" s="16"/>
      <c r="L6" s="17"/>
      <c r="M6" s="3"/>
    </row>
    <row r="7" spans="2:14" ht="15" thickBot="1" x14ac:dyDescent="0.35">
      <c r="B7" s="6" t="s">
        <v>13</v>
      </c>
      <c r="C7" s="7">
        <f>SUM(C3:C6)</f>
        <v>532500</v>
      </c>
      <c r="D7" s="7">
        <f>SUM(D3:D6)</f>
        <v>7500000</v>
      </c>
      <c r="E7" s="7">
        <f>SUM(E3:E6)</f>
        <v>510000</v>
      </c>
      <c r="F7" s="7">
        <f>SUM(F3:F6)</f>
        <v>1530000</v>
      </c>
      <c r="G7" s="7">
        <f>SUM(G3:G6)</f>
        <v>25500000</v>
      </c>
      <c r="H7" s="7"/>
      <c r="I7" s="7">
        <f>SUM(I3:I6)+SUM(K3:K6)+SUM(M3:M6)</f>
        <v>3811000</v>
      </c>
      <c r="J7" s="7"/>
      <c r="K7" s="7"/>
      <c r="L7" s="8"/>
    </row>
    <row r="8" spans="2:14" x14ac:dyDescent="0.3">
      <c r="B8" s="3"/>
      <c r="C8" s="3"/>
      <c r="D8" s="3"/>
      <c r="E8" s="3"/>
      <c r="F8" s="3"/>
      <c r="G8" s="3"/>
      <c r="H8" s="3"/>
      <c r="I8" s="3"/>
      <c r="M8" t="s">
        <v>14</v>
      </c>
      <c r="N8">
        <f>G7-F7-E7-D7-C7</f>
        <v>15427500</v>
      </c>
    </row>
    <row r="9" spans="2:14" ht="15" thickBot="1" x14ac:dyDescent="0.35">
      <c r="B9" s="3"/>
      <c r="C9" s="3"/>
      <c r="D9" s="3"/>
      <c r="E9" s="3"/>
      <c r="F9" s="3"/>
      <c r="G9" s="3"/>
      <c r="H9" s="3"/>
      <c r="I9" s="3"/>
      <c r="M9" t="s">
        <v>15</v>
      </c>
      <c r="N9">
        <f>I7/N8</f>
        <v>0.24702641387133364</v>
      </c>
    </row>
    <row r="10" spans="2:14" x14ac:dyDescent="0.3">
      <c r="B10" s="9" t="s">
        <v>10</v>
      </c>
      <c r="C10" s="10" t="s">
        <v>9</v>
      </c>
      <c r="D10" s="18" t="s">
        <v>11</v>
      </c>
    </row>
    <row r="11" spans="2:14" x14ac:dyDescent="0.3">
      <c r="B11" s="19">
        <v>43831</v>
      </c>
      <c r="C11" s="2">
        <v>256627</v>
      </c>
      <c r="D11" s="14">
        <v>80867.62</v>
      </c>
    </row>
    <row r="12" spans="2:14" x14ac:dyDescent="0.3">
      <c r="B12" s="19">
        <v>43739</v>
      </c>
      <c r="C12" s="2">
        <v>166685</v>
      </c>
      <c r="D12" s="14">
        <v>52005.72</v>
      </c>
    </row>
    <row r="13" spans="2:14" x14ac:dyDescent="0.3">
      <c r="B13" s="19">
        <v>43646</v>
      </c>
      <c r="C13" s="2">
        <v>87677</v>
      </c>
      <c r="D13" s="14">
        <v>27355.22</v>
      </c>
    </row>
    <row r="14" spans="2:14" ht="15" thickBot="1" x14ac:dyDescent="0.35">
      <c r="B14" s="20">
        <v>43556</v>
      </c>
      <c r="C14" s="16">
        <v>27389</v>
      </c>
      <c r="D14" s="17">
        <v>8545.3700000000008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10AE7-B988-41F4-AFFB-254A4BCBAF14}">
  <dimension ref="B1:N14"/>
  <sheetViews>
    <sheetView workbookViewId="0">
      <selection activeCell="K3" sqref="K3"/>
    </sheetView>
  </sheetViews>
  <sheetFormatPr defaultRowHeight="14.4" x14ac:dyDescent="0.3"/>
  <cols>
    <col min="2" max="2" width="10.88671875" customWidth="1"/>
    <col min="3" max="3" width="13.109375" customWidth="1"/>
    <col min="4" max="5" width="14.33203125" customWidth="1"/>
    <col min="6" max="6" width="19.21875" customWidth="1"/>
    <col min="7" max="7" width="12.77734375" customWidth="1"/>
    <col min="8" max="8" width="11" customWidth="1"/>
    <col min="9" max="9" width="11.33203125" customWidth="1"/>
    <col min="10" max="10" width="11.77734375" customWidth="1"/>
    <col min="14" max="14" width="9.5546875" bestFit="1" customWidth="1"/>
  </cols>
  <sheetData>
    <row r="1" spans="2:14" ht="15" thickBot="1" x14ac:dyDescent="0.35"/>
    <row r="2" spans="2:14" s="1" customFormat="1" ht="43.2" x14ac:dyDescent="0.3">
      <c r="B2" s="9" t="s">
        <v>5</v>
      </c>
      <c r="C2" s="10" t="s">
        <v>0</v>
      </c>
      <c r="D2" s="10" t="s">
        <v>1</v>
      </c>
      <c r="E2" s="10" t="s">
        <v>8</v>
      </c>
      <c r="F2" s="10" t="s">
        <v>7</v>
      </c>
      <c r="G2" s="10" t="s">
        <v>2</v>
      </c>
      <c r="H2" s="10" t="s">
        <v>3</v>
      </c>
      <c r="I2" s="10" t="s">
        <v>4</v>
      </c>
      <c r="J2" s="10" t="s">
        <v>6</v>
      </c>
      <c r="K2" s="10" t="s">
        <v>4</v>
      </c>
      <c r="L2" s="11" t="s">
        <v>6</v>
      </c>
      <c r="M2" s="1" t="s">
        <v>12</v>
      </c>
      <c r="N2" s="1" t="s">
        <v>10</v>
      </c>
    </row>
    <row r="3" spans="2:14" x14ac:dyDescent="0.3">
      <c r="B3" s="12">
        <v>32</v>
      </c>
      <c r="C3" s="2">
        <f>532500/4</f>
        <v>133125</v>
      </c>
      <c r="D3" s="2">
        <v>2500000</v>
      </c>
      <c r="E3" s="2">
        <f>G3*0.02</f>
        <v>170000</v>
      </c>
      <c r="F3" s="2">
        <v>510000</v>
      </c>
      <c r="G3" s="2">
        <v>8500000</v>
      </c>
      <c r="H3" s="5">
        <v>43669</v>
      </c>
      <c r="I3" s="2">
        <v>1362400</v>
      </c>
      <c r="J3" s="5">
        <v>43682</v>
      </c>
      <c r="K3" s="2">
        <v>405600</v>
      </c>
      <c r="L3" s="13">
        <v>43648</v>
      </c>
      <c r="M3" s="3"/>
      <c r="N3" s="4"/>
    </row>
    <row r="4" spans="2:14" x14ac:dyDescent="0.3">
      <c r="B4" s="12">
        <v>33</v>
      </c>
      <c r="C4" s="2">
        <f t="shared" ref="C4:C6" si="0">532500/4</f>
        <v>133125</v>
      </c>
      <c r="D4" s="2">
        <v>2500000</v>
      </c>
      <c r="E4" s="2">
        <f t="shared" ref="E4:E5" si="1">G4*0.02</f>
        <v>170000</v>
      </c>
      <c r="F4" s="2">
        <v>510000</v>
      </c>
      <c r="G4" s="2">
        <v>8500000</v>
      </c>
      <c r="H4" s="5">
        <v>43749</v>
      </c>
      <c r="I4" s="3">
        <v>1768000</v>
      </c>
      <c r="J4" s="4">
        <v>43741</v>
      </c>
      <c r="K4" s="2"/>
      <c r="L4" s="14"/>
    </row>
    <row r="5" spans="2:14" x14ac:dyDescent="0.3">
      <c r="B5" s="12">
        <v>34</v>
      </c>
      <c r="C5" s="2">
        <f t="shared" si="0"/>
        <v>133125</v>
      </c>
      <c r="D5" s="2">
        <v>2500000</v>
      </c>
      <c r="E5" s="2">
        <f t="shared" si="1"/>
        <v>170000</v>
      </c>
      <c r="F5" s="2">
        <v>510000</v>
      </c>
      <c r="G5" s="2">
        <v>8500000</v>
      </c>
      <c r="H5" s="5">
        <v>43384</v>
      </c>
      <c r="I5" s="2">
        <v>275000</v>
      </c>
      <c r="J5" s="5">
        <v>43512</v>
      </c>
      <c r="K5" s="2"/>
      <c r="L5" s="14"/>
      <c r="M5" s="3"/>
    </row>
    <row r="6" spans="2:14" ht="15" thickBot="1" x14ac:dyDescent="0.35">
      <c r="B6" s="15">
        <v>35</v>
      </c>
      <c r="C6" s="2">
        <f t="shared" si="0"/>
        <v>133125</v>
      </c>
      <c r="D6" s="16"/>
      <c r="E6" s="16"/>
      <c r="F6" s="16"/>
      <c r="G6" s="16"/>
      <c r="H6" s="16"/>
      <c r="I6" s="16"/>
      <c r="J6" s="16"/>
      <c r="K6" s="16"/>
      <c r="L6" s="17"/>
      <c r="M6" s="3"/>
    </row>
    <row r="7" spans="2:14" ht="15" thickBot="1" x14ac:dyDescent="0.35">
      <c r="B7" s="6" t="s">
        <v>13</v>
      </c>
      <c r="C7" s="7">
        <f>SUM(C3:C6)</f>
        <v>532500</v>
      </c>
      <c r="D7" s="7">
        <f>SUM(D3:D6)</f>
        <v>7500000</v>
      </c>
      <c r="E7" s="7">
        <f>SUM(E3:E6)</f>
        <v>510000</v>
      </c>
      <c r="F7" s="7">
        <f>SUM(F3:F6)</f>
        <v>1530000</v>
      </c>
      <c r="G7" s="7">
        <f>SUM(G3:G6)</f>
        <v>25500000</v>
      </c>
      <c r="H7" s="7"/>
      <c r="I7" s="7">
        <f>SUM(I3:I6)+SUM(K3:K6)+SUM(M3:M6)</f>
        <v>3811000</v>
      </c>
      <c r="J7" s="7"/>
      <c r="K7" s="7"/>
      <c r="L7" s="8"/>
    </row>
    <row r="8" spans="2:14" x14ac:dyDescent="0.3">
      <c r="B8" s="3"/>
      <c r="C8" s="3"/>
      <c r="D8" s="3"/>
      <c r="E8" s="3"/>
      <c r="F8" s="3"/>
      <c r="G8" s="3"/>
      <c r="H8" s="3"/>
      <c r="I8" s="3"/>
      <c r="M8" t="s">
        <v>14</v>
      </c>
      <c r="N8">
        <f>G7-F7-E7-D7-C7</f>
        <v>15427500</v>
      </c>
    </row>
    <row r="9" spans="2:14" ht="15" thickBot="1" x14ac:dyDescent="0.35">
      <c r="B9" s="3"/>
      <c r="C9" s="3"/>
      <c r="D9" s="3"/>
      <c r="E9" s="3"/>
      <c r="F9" s="3"/>
      <c r="G9" s="3"/>
      <c r="H9" s="3"/>
      <c r="I9" s="3"/>
      <c r="M9" t="s">
        <v>15</v>
      </c>
      <c r="N9">
        <f>I7/N8</f>
        <v>0.24702641387133364</v>
      </c>
    </row>
    <row r="10" spans="2:14" x14ac:dyDescent="0.3">
      <c r="B10" s="9" t="s">
        <v>10</v>
      </c>
      <c r="C10" s="10" t="s">
        <v>9</v>
      </c>
      <c r="D10" s="18" t="s">
        <v>11</v>
      </c>
    </row>
    <row r="11" spans="2:14" x14ac:dyDescent="0.3">
      <c r="B11" s="19">
        <v>43831</v>
      </c>
      <c r="C11" s="2">
        <v>256627</v>
      </c>
      <c r="D11" s="14">
        <v>80867.62</v>
      </c>
    </row>
    <row r="12" spans="2:14" x14ac:dyDescent="0.3">
      <c r="B12" s="19">
        <v>43739</v>
      </c>
      <c r="C12" s="2">
        <v>166685</v>
      </c>
      <c r="D12" s="14">
        <v>52005.72</v>
      </c>
    </row>
    <row r="13" spans="2:14" x14ac:dyDescent="0.3">
      <c r="B13" s="19">
        <v>43646</v>
      </c>
      <c r="C13" s="2">
        <v>87677</v>
      </c>
      <c r="D13" s="14">
        <v>27355.22</v>
      </c>
    </row>
    <row r="14" spans="2:14" ht="15" thickBot="1" x14ac:dyDescent="0.35">
      <c r="B14" s="20">
        <v>43556</v>
      </c>
      <c r="C14" s="16">
        <v>27389</v>
      </c>
      <c r="D14" s="17">
        <v>8545.3700000000008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EBBB1-CBE1-41CC-8E13-3EA7DF69114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 (2)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kamargo</dc:creator>
  <cp:lastModifiedBy>kamargo</cp:lastModifiedBy>
  <dcterms:created xsi:type="dcterms:W3CDTF">2020-02-23T15:12:20Z</dcterms:created>
  <dcterms:modified xsi:type="dcterms:W3CDTF">2020-02-26T04:08:35Z</dcterms:modified>
</cp:coreProperties>
</file>
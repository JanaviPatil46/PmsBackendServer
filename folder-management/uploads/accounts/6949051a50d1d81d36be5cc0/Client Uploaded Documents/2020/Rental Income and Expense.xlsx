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3"/>
    <sheet state="visible" name="Chase9051_Activity_20210215.CSV" sheetId="2" r:id="rId4"/>
    <sheet state="visible" name="Mortgage Interest Distribution" sheetId="3" r:id="rId5"/>
  </sheets>
  <definedNames/>
  <calcPr/>
  <pivotCaches>
    <pivotCache cacheId="0" r:id="rId6"/>
  </pivotCaches>
</workbook>
</file>

<file path=xl/sharedStrings.xml><?xml version="1.0" encoding="utf-8"?>
<sst xmlns="http://schemas.openxmlformats.org/spreadsheetml/2006/main" count="703" uniqueCount="141">
  <si>
    <t>SUM of Amount</t>
  </si>
  <si>
    <t>Property</t>
  </si>
  <si>
    <t>GL Account</t>
  </si>
  <si>
    <t>Austin</t>
  </si>
  <si>
    <t>Dublin</t>
  </si>
  <si>
    <t>Walnut</t>
  </si>
  <si>
    <t>Grand Total</t>
  </si>
  <si>
    <t xml:space="preserve"> Net Rent</t>
  </si>
  <si>
    <t xml:space="preserve"> Rent</t>
  </si>
  <si>
    <t>Bank Charges</t>
  </si>
  <si>
    <t>Finder's Fees</t>
  </si>
  <si>
    <t>HOA</t>
  </si>
  <si>
    <t>Home Insurance</t>
  </si>
  <si>
    <t>Interest Income</t>
  </si>
  <si>
    <t>Mortgage Interest</t>
  </si>
  <si>
    <t>Prop Tax</t>
  </si>
  <si>
    <t>Property Manager</t>
  </si>
  <si>
    <t>Repairs</t>
  </si>
  <si>
    <t>Tax Prep</t>
  </si>
  <si>
    <t>Utilities</t>
  </si>
  <si>
    <t>Screen Shot for Audit Trail</t>
  </si>
  <si>
    <t>Details</t>
  </si>
  <si>
    <t>Posting Date</t>
  </si>
  <si>
    <t>Description</t>
  </si>
  <si>
    <t>Amount</t>
  </si>
  <si>
    <t>Type</t>
  </si>
  <si>
    <t>Balance</t>
  </si>
  <si>
    <t>Check or Slip #</t>
  </si>
  <si>
    <t>Manually Added</t>
  </si>
  <si>
    <t>CREDIT</t>
  </si>
  <si>
    <t>QuickPay with Zelle payment from LAURA MAE LEE 10894323770</t>
  </si>
  <si>
    <t>QUICKPAY_CREDIT</t>
  </si>
  <si>
    <t>DEBIT</t>
  </si>
  <si>
    <t>Online Payment 10707143581 To Espirit Homeowners Association 12/28</t>
  </si>
  <si>
    <t>BILLPAY</t>
  </si>
  <si>
    <t>QuickPay with Zelle payment from LAURA MAE LEE 10894302001</t>
  </si>
  <si>
    <t>Online Payment 10697225745 To Mr. Cooper 12/24</t>
  </si>
  <si>
    <t>Mortgage</t>
  </si>
  <si>
    <t>QuickPay with Zelle payment to Judy Wang JPM495527119</t>
  </si>
  <si>
    <t>CHASE_TO_PARTNERFI</t>
  </si>
  <si>
    <t>STONEYRIDGE COMM Assn Dues  22288980        WEB ID: HOAPAYMENT</t>
  </si>
  <si>
    <t>ACH_DEBIT</t>
  </si>
  <si>
    <t>SCRIBE RESIDENTI EXPENSE DD                 PPD ID: S941687665</t>
  </si>
  <si>
    <t>ACH_CREDIT</t>
  </si>
  <si>
    <t>BANK OF AMERICA  P2P        NICOLE S LANDBE WEB ID: T941687665</t>
  </si>
  <si>
    <t>QuickPay with Zelle payment to Judy Wang JPM484236846</t>
  </si>
  <si>
    <t>QuickPay with Zelle payment to Judy Wang JPM483456641</t>
  </si>
  <si>
    <t>US BANK HOME MTG MTG PYMT   2200807732      WEB ID: 1075000022</t>
  </si>
  <si>
    <t>QuickPay with Zelle payment to Judy Wang JPM482253162</t>
  </si>
  <si>
    <t>ONLINE DOMESTIC WIRE FEE</t>
  </si>
  <si>
    <t>FEE_TRANSACTION</t>
  </si>
  <si>
    <t>ONLINE DOMESTIC WIRE TRANSFER A/C: WENZHEN ZHAO DUBLIN CA 94568-7129 US REF: REFUND OF 2 MONTH RENT AND DEPOSIT LESS EXP/BNF/PLS MAKE SURE NAME MAT CHES TO THE ACCOUNT TRN: 3121940332ES 11/27</t>
  </si>
  <si>
    <t>WIRE_OUTGOING</t>
  </si>
  <si>
    <t>Online Payment 10540282238 To Espirit Homeowners Association 11/27</t>
  </si>
  <si>
    <t>Online Payment 10529695355 To Mr. Cooper 11/25</t>
  </si>
  <si>
    <t>QuickPay with Zelle payment to Judy Wang JPM476829309</t>
  </si>
  <si>
    <t>STONEYRIDGE COMM Assn Dues  21993411        WEB ID: HOAPAYMENT</t>
  </si>
  <si>
    <t>Telephone transfer from CHK XXXXX6730</t>
  </si>
  <si>
    <t>Exclude</t>
  </si>
  <si>
    <t>Ignore</t>
  </si>
  <si>
    <t>ACCT_XFER</t>
  </si>
  <si>
    <t>DSLIP</t>
  </si>
  <si>
    <t>REMOTE ONLINE DEPOSIT #          1</t>
  </si>
  <si>
    <t>Deposit</t>
  </si>
  <si>
    <t>CHECK_DEPOSIT</t>
  </si>
  <si>
    <t>INTEREST PAYMENT</t>
  </si>
  <si>
    <t>MISC_CREDIT</t>
  </si>
  <si>
    <t>Online Payment 10363033613 To Espirit Homeowners Association 10/29</t>
  </si>
  <si>
    <t>QuickPay with Zelle payment from LAURA MAE LEE 10539473144</t>
  </si>
  <si>
    <t>QuickPay with Zelle payment from LAURA MAE LEE 10538707262</t>
  </si>
  <si>
    <t>QuickPay with Zelle payment from LAURA MAE LEE 10538785926</t>
  </si>
  <si>
    <t>PTY TAX PMTS     ONLINE WEB 000000001699890 WEB ID: 1946000501</t>
  </si>
  <si>
    <t>CONTRA COSTA     TAX COLL.  97747552501     WEB ID: 7946000509</t>
  </si>
  <si>
    <t>PTY TAX PMTS     ONLINE WEB 000000001699876 WEB ID: 1946000501</t>
  </si>
  <si>
    <t>Online Payment 10347745822 To Mr. Cooper 10/27</t>
  </si>
  <si>
    <t>QuickPay with Zelle payment from HARIHARAN JAYARAMAN WFCT0942N642</t>
  </si>
  <si>
    <t>PARTNERFI_TO_CHASE</t>
  </si>
  <si>
    <t>STONEYRIDGE COMM Assn Dues  21709619        WEB ID: HOAPAYMENT</t>
  </si>
  <si>
    <t>QuickPay with Zelle payment to Shiji jeff zhang JPM452482105</t>
  </si>
  <si>
    <t>QuickPay with Zelle payment to Shiji jeff zhang JPM452428347</t>
  </si>
  <si>
    <t>QuickPay with Zelle payment to Judy Wang JPM450952106</t>
  </si>
  <si>
    <t>Online Payment 10443274193 To Espirit Homeowners Association 10/13</t>
  </si>
  <si>
    <t>QuickPay with Zelle payment to Judy Wang JPM447332605</t>
  </si>
  <si>
    <t>QuickPay with Zelle payment to Judy Wang JPM447332260</t>
  </si>
  <si>
    <t>Online Payment 10325218915 To Espirit Homeowners Association 09/28</t>
  </si>
  <si>
    <t>Online Payment 10182989268 To Mr. Cooper 09/25</t>
  </si>
  <si>
    <t>Online Payment 10325214464 To Espirit Homeowners Association 09/21</t>
  </si>
  <si>
    <t>STONEYRIDGE COMM Assn Dues  21399296        WEB ID: HOAPAYMENT</t>
  </si>
  <si>
    <t>Online Payment 10010651282 To Mr. Cooper 08/27</t>
  </si>
  <si>
    <t>STONEYRIDGE COMM Assn Dues  21144525        WEB ID: HOAPAYMENT</t>
  </si>
  <si>
    <t>Online Payment 9833676743 To Mr. Cooper 07/27</t>
  </si>
  <si>
    <t>Online Payment 9973445196 To Espirit Homeowners Association 07/20</t>
  </si>
  <si>
    <t>QuickPay with Zelle payment to Judy Wang JPM403174090</t>
  </si>
  <si>
    <t>QuickPay with Zelle payment to Judy Wang JPM403173597</t>
  </si>
  <si>
    <t>STONEYRIDGE COMM Assn Dues  20928948        WEB ID: HOAPAYMENT</t>
  </si>
  <si>
    <t>Online Payment 9673089110 To Mr. Cooper 06/25</t>
  </si>
  <si>
    <t>Online Payment 9816382643 To Espirit Homeowners Association 06/22</t>
  </si>
  <si>
    <t>QuickPay with Zelle payment to Judy Wang JPM388069666</t>
  </si>
  <si>
    <t>STONEYRIDGE COMM Assn Dues  19319205        WEB ID: 8887344567</t>
  </si>
  <si>
    <t>Online Payment 9514011896 To Mr. Cooper 05/27</t>
  </si>
  <si>
    <t>QuickPay with Zelle payment to Silpa  9667010201</t>
  </si>
  <si>
    <t>QUICKPAY_DEBIT</t>
  </si>
  <si>
    <t>QuickPay with Zelle payment to Silpa  9666340268</t>
  </si>
  <si>
    <t>QuickPay with Zelle payment to Judy Wang JPM370751491</t>
  </si>
  <si>
    <t>STONEYRIDGE COMM Assn Dues  19102771        WEB ID: 8887344567</t>
  </si>
  <si>
    <t>PGANDE           WEB ONLINE 52853448051020  WEB ID: 5940742640</t>
  </si>
  <si>
    <t>Online Payment 9352722338 To Mr. Cooper 04/27</t>
  </si>
  <si>
    <t>QuickPay with Zelle payment to Judy Wang JPM360531780</t>
  </si>
  <si>
    <t>STONEYRIDGE COMM Assn Dues  18863156        WEB ID: 8887344567</t>
  </si>
  <si>
    <t>Online Payment 9233406324 To Mr. Cooper 03/26</t>
  </si>
  <si>
    <t>CHECK</t>
  </si>
  <si>
    <t xml:space="preserve">CHECK 128  </t>
  </si>
  <si>
    <t>CHECK_PAID</t>
  </si>
  <si>
    <t>STONEYRIDGE COMM Assn Dues  18570072        WEB ID: 8887344567</t>
  </si>
  <si>
    <t>Online Payment 9305739214 To Espirit Homeowners Association 03/16</t>
  </si>
  <si>
    <t>QuickPay with Zelle payment to Judy Wang JPM336746532</t>
  </si>
  <si>
    <t>Online Payment 9118871096 To Mr. Cooper 02/27</t>
  </si>
  <si>
    <t>STONEYRIDGE COMM Assn Dues  18307880        WEB ID: 8887344567</t>
  </si>
  <si>
    <t>HECORP INC       FEE TRAVIS TXNID20378925   WEB ID: 1742291435</t>
  </si>
  <si>
    <t>PTY TAX PMTS     ONLINE WEB 000000001578060 WEB ID: 1946000501</t>
  </si>
  <si>
    <t>Travis County Ta ONLINE PMT TXNID20378925   WEB ID: 1181045000</t>
  </si>
  <si>
    <t>CONTRA COSTA TAX TAXPAYMENT 2749166         WEB ID: 0000007041</t>
  </si>
  <si>
    <t>Online Payment 9169887192 To DUBLIN SAN RAMON SERVICES DISTRICT 02/10</t>
  </si>
  <si>
    <t>Online Payment 9169758669 To Espirit Homeowners Association 02/10</t>
  </si>
  <si>
    <t xml:space="preserve">CHECK 126  </t>
  </si>
  <si>
    <t>QuickPay with Zelle payment to Judy Wang JPM322954851</t>
  </si>
  <si>
    <t xml:space="preserve">CHECK 125  </t>
  </si>
  <si>
    <t>Online Payment 8999131332 To Mr. Cooper 01/27</t>
  </si>
  <si>
    <t>TRAVELERS        PER INSUR  BPITPI014738121 WEB ID: 4069827005</t>
  </si>
  <si>
    <t>State Auto - Inb VENDOR PMT                 PPD ID: 3800146791</t>
  </si>
  <si>
    <t xml:space="preserve">CHECK 124  </t>
  </si>
  <si>
    <t>STONEYRIDGE COMM Assn Dues  18033259        WEB ID: 8887344567</t>
  </si>
  <si>
    <t>QuickPay with Zelle payment to Judy Wang JPM316782305</t>
  </si>
  <si>
    <t>QuickPay with Zelle payment to Judy Wang JPM316781972</t>
  </si>
  <si>
    <t>QuickPay with Zelle payment to Judy Wang JPM316781752</t>
  </si>
  <si>
    <t>DEPOSIT  ID NUMBER 118086</t>
  </si>
  <si>
    <t>DEPOSIT</t>
  </si>
  <si>
    <t>34 Golf</t>
  </si>
  <si>
    <t>Campus</t>
  </si>
  <si>
    <t>Total</t>
  </si>
  <si>
    <t>Original Mortage before combining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</si>
</sst>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&quot;$&quot;#,##0"/>
    <numFmt numFmtId="166" formatCode="mm/dd/yyyy"/>
    <numFmt numFmtId="167" formatCode="&quot;$&quot;#,##0.00"/>
  </numFmts>
  <fonts count="4">
    <font>
      <sz val="10.0"/>
      <color rgb="FF000000"/>
      <name val="Arial"/>
    </font>
    <font/>
    <font>
      <b/>
      <color rgb="FFFFFFFF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165" xfId="0" applyFont="1" applyNumberFormat="1"/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/>
    </xf>
    <xf borderId="0" fillId="2" fontId="2" numFmtId="0" xfId="0" applyAlignment="1" applyFont="1">
      <alignment horizontal="center"/>
    </xf>
    <xf borderId="0" fillId="0" fontId="1" numFmtId="164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167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pivotCacheDefinition" Target="pivotCache/pivotCacheDefinition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152400</xdr:colOff>
      <xdr:row>21</xdr:row>
      <xdr:rowOff>152400</xdr:rowOff>
    </xdr:from>
    <xdr:ext cx="6696075" cy="3867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135" sheet="Chase9051_Activity_20210215.CSV"/>
  </cacheSource>
  <cacheFields>
    <cacheField name="Details" numFmtId="0">
      <sharedItems>
        <s v="Manually Added"/>
        <s v="CREDIT"/>
        <s v="DEBIT"/>
        <s v="DSLIP"/>
        <s v="CHECK"/>
      </sharedItems>
    </cacheField>
    <cacheField name="Posting Date" numFmtId="164">
      <sharedItems containsSemiMixedTypes="0" containsDate="1" containsString="0">
        <d v="2020-12-31T00:00:00Z"/>
        <d v="2020-12-28T00:00:00Z"/>
        <d v="2020-12-24T00:00:00Z"/>
        <d v="2020-12-21T00:00:00Z"/>
        <d v="2020-12-15T00:00:00Z"/>
        <d v="2020-12-14T00:00:00Z"/>
        <d v="2020-12-08T00:00:00Z"/>
        <d v="2020-12-04T00:00:00Z"/>
        <d v="2020-12-03T00:00:00Z"/>
        <d v="2020-12-01T00:00:00Z"/>
        <d v="2020-11-27T00:00:00Z"/>
        <d v="2020-11-25T00:00:00Z"/>
        <d v="2020-11-23T00:00:00Z"/>
        <d v="2020-11-17T00:00:00Z"/>
        <d v="2020-11-13T00:00:00Z"/>
        <d v="2020-11-09T00:00:00Z"/>
        <d v="2020-11-02T00:00:00Z"/>
        <d v="2020-10-30T00:00:00Z"/>
        <d v="2020-10-29T00:00:00Z"/>
        <d v="2020-10-28T00:00:00Z"/>
        <d v="2020-10-27T00:00:00Z"/>
        <d v="2020-10-23T00:00:00Z"/>
        <d v="2020-10-15T00:00:00Z"/>
        <d v="2020-10-14T00:00:00Z"/>
        <d v="2020-10-13T00:00:00Z"/>
        <d v="2020-10-05T00:00:00Z"/>
        <d v="2020-10-02T00:00:00Z"/>
        <d v="2020-10-01T00:00:00Z"/>
        <d v="2020-09-30T00:00:00Z"/>
        <d v="2020-09-28T00:00:00Z"/>
        <d v="2020-09-25T00:00:00Z"/>
        <d v="2020-09-21T00:00:00Z"/>
        <d v="2020-09-15T00:00:00Z"/>
        <d v="2020-09-14T00:00:00Z"/>
        <d v="2020-09-02T00:00:00Z"/>
        <d v="2020-09-01T00:00:00Z"/>
        <d v="2020-08-31T00:00:00Z"/>
        <d v="2020-08-27T00:00:00Z"/>
        <d v="2020-08-17T00:00:00Z"/>
        <d v="2020-08-13T00:00:00Z"/>
        <d v="2020-08-03T00:00:00Z"/>
        <d v="2020-07-31T00:00:00Z"/>
        <d v="2020-07-27T00:00:00Z"/>
        <d v="2020-07-20T00:00:00Z"/>
        <d v="2020-07-15T00:00:00Z"/>
        <d v="2020-07-13T00:00:00Z"/>
        <d v="2020-07-08T00:00:00Z"/>
        <d v="2020-07-01T00:00:00Z"/>
        <d v="2020-06-30T00:00:00Z"/>
        <d v="2020-06-25T00:00:00Z"/>
        <d v="2020-06-22T00:00:00Z"/>
        <d v="2020-06-16T00:00:00Z"/>
        <d v="2020-06-12T00:00:00Z"/>
        <d v="2020-06-02T00:00:00Z"/>
        <d v="2020-06-01T00:00:00Z"/>
        <d v="2020-05-29T00:00:00Z"/>
        <d v="2020-05-27T00:00:00Z"/>
        <d v="2020-05-26T00:00:00Z"/>
        <d v="2020-05-18T00:00:00Z"/>
        <d v="2020-05-15T00:00:00Z"/>
        <d v="2020-05-12T00:00:00Z"/>
        <d v="2020-05-04T00:00:00Z"/>
        <d v="2020-05-01T00:00:00Z"/>
        <d v="2020-04-30T00:00:00Z"/>
        <d v="2020-04-27T00:00:00Z"/>
        <d v="2020-04-15T00:00:00Z"/>
        <d v="2020-04-13T00:00:00Z"/>
        <d v="2020-04-02T00:00:00Z"/>
        <d v="2020-04-01T00:00:00Z"/>
        <d v="2020-03-31T00:00:00Z"/>
        <d v="2020-03-26T00:00:00Z"/>
        <d v="2020-03-20T00:00:00Z"/>
        <d v="2020-03-17T00:00:00Z"/>
        <d v="2020-03-16T00:00:00Z"/>
        <d v="2020-03-12T00:00:00Z"/>
        <d v="2020-03-02T00:00:00Z"/>
        <d v="2020-02-28T00:00:00Z"/>
        <d v="2020-02-27T00:00:00Z"/>
        <d v="2020-02-20T00:00:00Z"/>
        <d v="2020-02-18T00:00:00Z"/>
        <d v="2020-02-13T00:00:00Z"/>
        <d v="2020-02-11T00:00:00Z"/>
        <d v="2020-02-10T00:00:00Z"/>
        <d v="2020-02-07T00:00:00Z"/>
        <d v="2020-02-03T00:00:00Z"/>
        <d v="2020-01-31T00:00:00Z"/>
        <d v="2020-01-27T00:00:00Z"/>
        <d v="2020-01-23T00:00:00Z"/>
        <d v="2020-01-22T00:00:00Z"/>
        <d v="2020-01-15T00:00:00Z"/>
        <d v="2020-01-13T00:00:00Z"/>
        <d v="2020-01-06T00:00:00Z"/>
        <d v="2020-01-02T00:00:00Z"/>
      </sharedItems>
    </cacheField>
    <cacheField name="Description" numFmtId="0">
      <sharedItems>
        <s v="Mortgage Interest"/>
        <s v="QuickPay with Zelle payment from LAURA MAE LEE 10894323770"/>
        <s v="Online Payment 10707143581 To Espirit Homeowners Association 12/28"/>
        <s v="QuickPay with Zelle payment from LAURA MAE LEE 10894302001"/>
        <s v="Online Payment 10697225745 To Mr. Cooper 12/24"/>
        <s v="QuickPay with Zelle payment to Judy Wang JPM495527119"/>
        <s v="STONEYRIDGE COMM Assn Dues  22288980        WEB ID: HOAPAYMENT"/>
        <s v="SCRIBE RESIDENTI EXPENSE DD                 PPD ID: S941687665"/>
        <s v="BANK OF AMERICA  P2P        NICOLE S LANDBE WEB ID: T941687665"/>
        <s v="QuickPay with Zelle payment to Judy Wang JPM484236846"/>
        <s v="QuickPay with Zelle payment to Judy Wang JPM483456641"/>
        <s v="US BANK HOME MTG MTG PYMT   2200807732      WEB ID: 1075000022"/>
        <s v="QuickPay with Zelle payment to Judy Wang JPM482253162"/>
        <s v="ONLINE DOMESTIC WIRE FEE"/>
        <s v="ONLINE DOMESTIC WIRE TRANSFER A/C: WENZHEN ZHAO DUBLIN CA 94568-7129 US REF: REFUND OF 2 MONTH RENT AND DEPOSIT LESS EXP/BNF/PLS MAKE SURE NAME MAT CHES TO THE ACCOUNT TRN: 3121940332ES 11/27"/>
        <s v="Online Payment 10540282238 To Espirit Homeowners Association 11/27"/>
        <s v="Online Payment 10529695355 To Mr. Cooper 11/25"/>
        <s v="QuickPay with Zelle payment to Judy Wang JPM476829309"/>
        <s v="STONEYRIDGE COMM Assn Dues  21993411        WEB ID: HOAPAYMENT"/>
        <s v="Telephone transfer from CHK XXXXX6730"/>
        <s v="REMOTE ONLINE DEPOSIT #          1"/>
        <s v="INTEREST PAYMENT"/>
        <s v="Online Payment 10363033613 To Espirit Homeowners Association 10/29"/>
        <s v="QuickPay with Zelle payment from LAURA MAE LEE 10539473144"/>
        <s v="QuickPay with Zelle payment from LAURA MAE LEE 10538707262"/>
        <s v="QuickPay with Zelle payment from LAURA MAE LEE 10538785926"/>
        <s v="PTY TAX PMTS     ONLINE WEB 000000001699890 WEB ID: 1946000501"/>
        <s v="CONTRA COSTA     TAX COLL.  97747552501     WEB ID: 7946000509"/>
        <s v="PTY TAX PMTS     ONLINE WEB 000000001699876 WEB ID: 1946000501"/>
        <s v="Online Payment 10347745822 To Mr. Cooper 10/27"/>
        <s v="QuickPay with Zelle payment from HARIHARAN JAYARAMAN WFCT0942N642"/>
        <s v="STONEYRIDGE COMM Assn Dues  21709619        WEB ID: HOAPAYMENT"/>
        <s v="QuickPay with Zelle payment to Shiji jeff zhang JPM452482105"/>
        <s v="QuickPay with Zelle payment to Shiji jeff zhang JPM452428347"/>
        <s v="QuickPay with Zelle payment to Judy Wang JPM450952106"/>
        <s v="Online Payment 10443274193 To Espirit Homeowners Association 10/13"/>
        <s v="QuickPay with Zelle payment to Judy Wang JPM447332605"/>
        <s v="QuickPay with Zelle payment to Judy Wang JPM447332260"/>
        <s v="Online Payment 10325218915 To Espirit Homeowners Association 09/28"/>
        <s v="Online Payment 10182989268 To Mr. Cooper 09/25"/>
        <s v="Online Payment 10325214464 To Espirit Homeowners Association 09/21"/>
        <s v="STONEYRIDGE COMM Assn Dues  21399296        WEB ID: HOAPAYMENT"/>
        <s v="Online Payment 10010651282 To Mr. Cooper 08/27"/>
        <s v="STONEYRIDGE COMM Assn Dues  21144525        WEB ID: HOAPAYMENT"/>
        <s v="Online Payment 9833676743 To Mr. Cooper 07/27"/>
        <s v="Online Payment 9973445196 To Espirit Homeowners Association 07/20"/>
        <s v="QuickPay with Zelle payment to Judy Wang JPM403174090"/>
        <s v="QuickPay with Zelle payment to Judy Wang JPM403173597"/>
        <s v="STONEYRIDGE COMM Assn Dues  20928948        WEB ID: HOAPAYMENT"/>
        <s v="Online Payment 9673089110 To Mr. Cooper 06/25"/>
        <s v="Online Payment 9816382643 To Espirit Homeowners Association 06/22"/>
        <s v="QuickPay with Zelle payment to Judy Wang JPM388069666"/>
        <s v="STONEYRIDGE COMM Assn Dues  19319205        WEB ID: 8887344567"/>
        <s v="Online Payment 9514011896 To Mr. Cooper 05/27"/>
        <s v="QuickPay with Zelle payment to Silpa  9667010201"/>
        <s v="QuickPay with Zelle payment to Silpa  9666340268"/>
        <s v="QuickPay with Zelle payment to Judy Wang JPM370751491"/>
        <s v="STONEYRIDGE COMM Assn Dues  19102771        WEB ID: 8887344567"/>
        <s v="PGANDE           WEB ONLINE 52853448051020  WEB ID: 5940742640"/>
        <s v="Online Payment 9352722338 To Mr. Cooper 04/27"/>
        <s v="QuickPay with Zelle payment to Judy Wang JPM360531780"/>
        <s v="STONEYRIDGE COMM Assn Dues  18863156        WEB ID: 8887344567"/>
        <s v="Online Payment 9233406324 To Mr. Cooper 03/26"/>
        <s v="CHECK 128  "/>
        <s v="STONEYRIDGE COMM Assn Dues  18570072        WEB ID: 8887344567"/>
        <s v="Online Payment 9305739214 To Espirit Homeowners Association 03/16"/>
        <s v="QuickPay with Zelle payment to Judy Wang JPM336746532"/>
        <s v="Online Payment 9118871096 To Mr. Cooper 02/27"/>
        <s v="STONEYRIDGE COMM Assn Dues  18307880        WEB ID: 8887344567"/>
        <s v="HECORP INC       FEE TRAVIS TXNID20378925   WEB ID: 1742291435"/>
        <s v="PTY TAX PMTS     ONLINE WEB 000000001578060 WEB ID: 1946000501"/>
        <s v="Travis County Ta ONLINE PMT TXNID20378925   WEB ID: 1181045000"/>
        <s v="CONTRA COSTA TAX TAXPAYMENT 2749166         WEB ID: 0000007041"/>
        <s v="Online Payment 9169887192 To DUBLIN SAN RAMON SERVICES DISTRICT 02/10"/>
        <s v="Online Payment 9169758669 To Espirit Homeowners Association 02/10"/>
        <s v="CHECK 126  "/>
        <s v="QuickPay with Zelle payment to Judy Wang JPM322954851"/>
        <s v="CHECK 125  "/>
        <s v="Online Payment 8999131332 To Mr. Cooper 01/27"/>
        <s v="TRAVELERS        PER INSUR  BPITPI014738121 WEB ID: 4069827005"/>
        <s v="State Auto - Inb VENDOR PMT                 PPD ID: 3800146791"/>
        <s v="CHECK 124  "/>
        <s v="STONEYRIDGE COMM Assn Dues  18033259        WEB ID: 8887344567"/>
        <s v="QuickPay with Zelle payment to Judy Wang JPM316782305"/>
        <s v="QuickPay with Zelle payment to Judy Wang JPM316781972"/>
        <s v="QuickPay with Zelle payment to Judy Wang JPM316781752"/>
        <s v="DEPOSIT  ID NUMBER 118086"/>
      </sharedItems>
    </cacheField>
    <cacheField name="Property" numFmtId="0">
      <sharedItems>
        <s v="Austin"/>
        <s v="Walnut"/>
        <s v="Dublin"/>
        <s v="Exclude"/>
      </sharedItems>
    </cacheField>
    <cacheField name="GL Account" numFmtId="0">
      <sharedItems>
        <s v="Mortgage Interest"/>
        <s v=" Rent"/>
        <s v="HOA"/>
        <s v="Mortgage"/>
        <s v="Property Manager"/>
        <s v=" Net Rent"/>
        <s v="Repairs"/>
        <s v="Bank Charges"/>
        <s v="Ignore"/>
        <s v="Deposit"/>
        <s v="Interest Income"/>
        <s v="Prop Tax"/>
        <s v="Finder's Fees"/>
        <s v="Tax Prep"/>
        <s v="Utilities"/>
        <s v="Home Insurance"/>
      </sharedItems>
    </cacheField>
    <cacheField name="Amount" numFmtId="0">
      <sharedItems containsSemiMixedTypes="0" containsString="0" containsNumber="1">
        <n v="-7358.51"/>
        <n v="-23523.96"/>
        <n v="-6868.0"/>
        <n v="1395.0"/>
        <n v="-189.0"/>
        <n v="2000.0"/>
        <n v="-904.07"/>
        <n v="-339.0"/>
        <n v="-379.07"/>
        <n v="1781.3"/>
        <n v="4100.0"/>
        <n v="-79.01"/>
        <n v="-927.71"/>
        <n v="-2887.0"/>
        <n v="-740.0"/>
        <n v="-25.0"/>
        <n v="-9805.0"/>
        <n v="487.31"/>
        <n v="5000.0"/>
        <n v="0.02"/>
        <n v="0.28"/>
        <n v="10.0"/>
        <n v="1990.0"/>
        <n v="-5122.61"/>
        <n v="-7228.49"/>
        <n v="-17738.54"/>
        <n v="-190.0"/>
        <n v="-10.0"/>
        <n v="-43.9"/>
        <n v="0.31"/>
        <n v="-415.8"/>
        <n v="0.23"/>
        <n v="-1050.0"/>
        <n v="1637.3"/>
        <n v="20000.0"/>
        <n v="0.14"/>
        <n v="-609.7"/>
        <n v="0.12"/>
        <n v="-1195.0"/>
        <n v="-5.0"/>
        <n v="-113.45"/>
        <n v="1581.3"/>
        <n v="1734.3"/>
        <n v="-250.0"/>
        <n v="0.11"/>
        <n v="8200.0"/>
        <n v="-1.0"/>
        <n v="-5114.88"/>
        <n v="-6783.73"/>
        <n v="-9614.32"/>
        <n v="-58.35"/>
        <n v="-417.0"/>
        <n v="-300.0"/>
        <n v="-1478.3"/>
        <n v="-40.0"/>
        <n v="-713.0"/>
        <n v="-703.77"/>
        <n v="-1770.0"/>
        <n v="-164.0"/>
        <n v="25500.0"/>
        <n v="1590.3"/>
      </sharedItems>
    </cacheField>
    <cacheField name="Type" numFmtId="0">
      <sharedItems containsBlank="1">
        <m/>
        <s v="QUICKPAY_CREDIT"/>
        <s v="BILLPAY"/>
        <s v="CHASE_TO_PARTNERFI"/>
        <s v="ACH_DEBIT"/>
        <s v="ACH_CREDIT"/>
        <s v="FEE_TRANSACTION"/>
        <s v="WIRE_OUTGOING"/>
        <s v="ACCT_XFER"/>
        <s v="CHECK_DEPOSIT"/>
        <s v="MISC_CREDIT"/>
        <s v="PARTNERFI_TO_CHASE"/>
        <s v="QUICKPAY_DEBIT"/>
        <s v="CHECK_PAID"/>
        <s v="DEPOSIT"/>
      </sharedItems>
    </cacheField>
    <cacheField name="Balance" numFmtId="0">
      <sharedItems containsString="0" containsBlank="1" containsNumber="1">
        <m/>
        <n v="11014.34"/>
        <n v="9619.34"/>
        <n v="9808.34"/>
        <n v="7808.34"/>
        <n v="8712.41"/>
        <n v="9051.41"/>
        <n v="9430.48"/>
        <n v="7649.18"/>
        <n v="3549.18"/>
        <n v="3628.19"/>
        <n v="4555.9"/>
        <n v="7442.9"/>
        <n v="8182.9"/>
        <n v="8207.9"/>
        <n v="18012.9"/>
        <n v="18201.9"/>
        <n v="19105.97"/>
        <n v="19444.97"/>
        <n v="19824.04"/>
        <n v="18042.74"/>
        <n v="17555.43"/>
        <n v="12555.43"/>
        <n v="12555.41"/>
        <n v="15442.41"/>
        <n v="11342.41"/>
        <n v="11342.13"/>
        <n v="11531.13"/>
        <n v="10136.13"/>
        <n v="10126.13"/>
        <n v="8136.13"/>
        <n v="13258.74"/>
        <n v="20487.23"/>
        <n v="38225.77"/>
        <n v="39129.84"/>
        <n v="39119.84"/>
        <n v="39498.91"/>
        <n v="39688.91"/>
        <n v="39698.91"/>
        <n v="37917.61"/>
        <n v="38256.61"/>
        <n v="38300.51"/>
        <n v="38639.51"/>
        <n v="38978.51"/>
        <n v="34878.51"/>
        <n v="37765.51"/>
        <n v="37765.2"/>
        <n v="37954.2"/>
        <n v="38858.27"/>
        <n v="39274.07"/>
        <n v="39653.14"/>
        <n v="37871.84"/>
        <n v="33771.84"/>
        <n v="36658.84"/>
        <n v="36658.53"/>
        <n v="37562.6"/>
        <n v="37941.67"/>
        <n v="36160.37"/>
        <n v="39047.37"/>
        <n v="34947.37"/>
        <n v="34947.14"/>
        <n v="35851.21"/>
        <n v="36040.21"/>
        <n v="37090.21"/>
        <n v="37429.21"/>
        <n v="37808.28"/>
        <n v="36170.98"/>
        <n v="16170.98"/>
        <n v="12070.98"/>
        <n v="14957.98"/>
        <n v="14957.84"/>
        <n v="15861.91"/>
        <n v="16471.61"/>
        <n v="16810.61"/>
        <n v="17189.68"/>
        <n v="15408.38"/>
        <n v="11308.38"/>
        <n v="14195.38"/>
        <n v="14195.26"/>
        <n v="15099.33"/>
        <n v="16294.33"/>
        <n v="16299.33"/>
        <n v="16638.33"/>
        <n v="17017.4"/>
        <n v="17130.85"/>
        <n v="15549.55"/>
        <n v="11449.55"/>
        <n v="14336.55"/>
        <n v="14336.43"/>
        <n v="15240.5"/>
        <n v="15579.5"/>
        <n v="15958.57"/>
        <n v="14224.27"/>
        <n v="10124.27"/>
        <n v="13011.27"/>
        <n v="13011.15"/>
        <n v="13915.22"/>
        <n v="14165.22"/>
        <n v="14544.29"/>
        <n v="14733.29"/>
        <n v="12998.99"/>
        <n v="15885.99"/>
        <n v="16224.99"/>
        <n v="12124.99"/>
        <n v="12124.88"/>
        <n v="13028.95"/>
        <n v="4828.95"/>
        <n v="5208.02"/>
        <n v="3473.72"/>
        <n v="3474.72"/>
        <n v="8589.6"/>
        <n v="15373.33"/>
        <n v="24987.65"/>
        <n v="25046.0"/>
        <n v="25463.0"/>
        <n v="25763.0"/>
        <n v="28650.0"/>
        <n v="24550.0"/>
        <n v="24549.86"/>
        <n v="26028.16"/>
        <n v="26068.16"/>
        <n v="26972.23"/>
        <n v="27685.23"/>
        <n v="28389.0"/>
        <n v="30159.0"/>
        <n v="30538.07"/>
        <n v="30702.07"/>
        <n v="30866.07"/>
        <n v="31030.07"/>
        <n v="5530.07"/>
        <n v="3939.77"/>
        <n v="-160.23"/>
      </sharedItems>
    </cacheField>
    <cacheField name="Check or Slip #" numFmtId="0">
      <sharedItems containsString="0" containsBlank="1" containsNumber="1" containsInteger="1">
        <m/>
        <n v="1.0"/>
        <n v="128.0"/>
        <n v="126.0"/>
        <n v="125.0"/>
        <n v="124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ummary" cacheId="0" dataCaption="" compact="0" compactData="0">
  <location ref="A1:E16" firstHeaderRow="0" firstDataRow="1" firstDataCol="1"/>
  <pivotFields>
    <pivotField name="Detail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osting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Descri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Property" axis="axisCol" compact="0" outline="0" multipleItemSelectionAllowed="1" showAll="0" sortType="ascending">
      <items>
        <item x="0"/>
        <item x="2"/>
        <item h="1" x="3"/>
        <item x="1"/>
        <item t="default"/>
      </items>
    </pivotField>
    <pivotField name="GL Account" axis="axisRow" compact="0" outline="0" multipleItemSelectionAllowed="1" showAll="0" sortType="ascending">
      <items>
        <item x="5"/>
        <item x="1"/>
        <item x="7"/>
        <item x="9"/>
        <item x="12"/>
        <item x="2"/>
        <item x="15"/>
        <item h="1" x="8"/>
        <item x="10"/>
        <item h="1" x="3"/>
        <item x="0"/>
        <item x="11"/>
        <item x="4"/>
        <item x="6"/>
        <item x="13"/>
        <item x="14"/>
        <item t="default"/>
      </items>
    </pivotField>
    <pivotField name="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Bal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t="default"/>
      </items>
    </pivotField>
    <pivotField name="Check or Slip #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4"/>
  </rowFields>
  <colFields>
    <field x="3"/>
  </colFields>
  <dataFields>
    <dataField name="SUM of Amount" fld="5" baseField="0"/>
  </dataFields>
</pivotTableDefinition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cols>
    <col customWidth="1" min="1" max="1" width="27.29"/>
  </cols>
  <sheetData>
    <row r="1"/>
    <row r="2"/>
    <row r="3">
      <c r="F3" s="1"/>
    </row>
    <row r="4">
      <c r="F4" s="1"/>
    </row>
    <row r="5">
      <c r="F5" s="1"/>
    </row>
    <row r="6">
      <c r="F6" s="1"/>
    </row>
    <row r="7">
      <c r="F7" s="1"/>
    </row>
    <row r="8">
      <c r="F8" s="1"/>
    </row>
    <row r="9">
      <c r="F9" s="1"/>
    </row>
    <row r="10">
      <c r="F10" s="1"/>
    </row>
    <row r="11">
      <c r="F11" s="1"/>
    </row>
    <row r="12">
      <c r="F12" s="1"/>
    </row>
    <row r="13">
      <c r="F13" s="1"/>
    </row>
    <row r="14">
      <c r="F14" s="1"/>
    </row>
    <row r="15">
      <c r="F15" s="1"/>
    </row>
    <row r="16">
      <c r="F16" s="1"/>
    </row>
    <row r="22">
      <c r="I22" s="2" t="s">
        <v>20</v>
      </c>
    </row>
  </sheetData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8.29"/>
    <col customWidth="1" min="2" max="2" width="12.0"/>
    <col customWidth="1" min="3" max="3" width="60.57"/>
    <col customWidth="1" min="7" max="7" width="23.0"/>
  </cols>
  <sheetData>
    <row r="1">
      <c r="A1" s="3" t="s">
        <v>21</v>
      </c>
      <c r="B1" s="3" t="s">
        <v>22</v>
      </c>
      <c r="C1" s="3" t="s">
        <v>23</v>
      </c>
      <c r="D1" s="3" t="s">
        <v>1</v>
      </c>
      <c r="E1" s="3" t="s">
        <v>2</v>
      </c>
      <c r="F1" s="3" t="s">
        <v>24</v>
      </c>
      <c r="G1" s="3" t="s">
        <v>25</v>
      </c>
      <c r="H1" s="3" t="s">
        <v>26</v>
      </c>
      <c r="I1" s="3" t="s">
        <v>27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2" t="s">
        <v>28</v>
      </c>
      <c r="B2" s="5">
        <v>44196.0</v>
      </c>
      <c r="C2" s="2" t="s">
        <v>14</v>
      </c>
      <c r="D2" s="2" t="s">
        <v>3</v>
      </c>
      <c r="E2" s="2" t="s">
        <v>14</v>
      </c>
      <c r="F2" s="2">
        <v>-7358.51</v>
      </c>
      <c r="G2" s="2"/>
      <c r="H2" s="2"/>
    </row>
    <row r="3">
      <c r="A3" s="2" t="s">
        <v>28</v>
      </c>
      <c r="B3" s="5">
        <v>44196.0</v>
      </c>
      <c r="C3" s="2" t="s">
        <v>14</v>
      </c>
      <c r="D3" s="2" t="s">
        <v>5</v>
      </c>
      <c r="E3" s="2" t="s">
        <v>14</v>
      </c>
      <c r="F3" s="2">
        <v>-23523.96</v>
      </c>
      <c r="G3" s="2"/>
      <c r="H3" s="2"/>
    </row>
    <row r="4">
      <c r="A4" s="2" t="s">
        <v>28</v>
      </c>
      <c r="B4" s="5">
        <v>44196.0</v>
      </c>
      <c r="C4" s="2" t="s">
        <v>14</v>
      </c>
      <c r="D4" s="2" t="s">
        <v>4</v>
      </c>
      <c r="E4" s="2" t="s">
        <v>14</v>
      </c>
      <c r="F4" s="2">
        <v>-6868.0</v>
      </c>
      <c r="G4" s="2"/>
      <c r="H4" s="2"/>
    </row>
    <row r="5">
      <c r="A5" s="2" t="s">
        <v>29</v>
      </c>
      <c r="B5" s="5">
        <v>44196.0</v>
      </c>
      <c r="C5" s="2" t="s">
        <v>30</v>
      </c>
      <c r="D5" s="2" t="s">
        <v>4</v>
      </c>
      <c r="E5" s="2" t="s">
        <v>8</v>
      </c>
      <c r="F5" s="2">
        <v>1395.0</v>
      </c>
      <c r="G5" s="2" t="s">
        <v>31</v>
      </c>
      <c r="H5" s="2">
        <v>11014.34</v>
      </c>
    </row>
    <row r="6">
      <c r="A6" s="2" t="s">
        <v>32</v>
      </c>
      <c r="B6" s="5">
        <v>44193.0</v>
      </c>
      <c r="C6" s="2" t="s">
        <v>33</v>
      </c>
      <c r="D6" s="2" t="s">
        <v>4</v>
      </c>
      <c r="E6" s="2" t="s">
        <v>11</v>
      </c>
      <c r="F6" s="2">
        <v>-189.0</v>
      </c>
      <c r="G6" s="2" t="s">
        <v>34</v>
      </c>
      <c r="H6" s="2">
        <v>9619.34</v>
      </c>
    </row>
    <row r="7">
      <c r="A7" s="2" t="s">
        <v>29</v>
      </c>
      <c r="B7" s="5">
        <v>44193.0</v>
      </c>
      <c r="C7" s="2" t="s">
        <v>35</v>
      </c>
      <c r="D7" s="2" t="s">
        <v>4</v>
      </c>
      <c r="E7" s="2" t="s">
        <v>8</v>
      </c>
      <c r="F7" s="2">
        <v>2000.0</v>
      </c>
      <c r="G7" s="2" t="s">
        <v>31</v>
      </c>
      <c r="H7" s="2">
        <v>9808.34</v>
      </c>
    </row>
    <row r="8">
      <c r="A8" s="2" t="s">
        <v>32</v>
      </c>
      <c r="B8" s="5">
        <v>44189.0</v>
      </c>
      <c r="C8" s="2" t="s">
        <v>36</v>
      </c>
      <c r="D8" s="2" t="s">
        <v>3</v>
      </c>
      <c r="E8" s="2" t="s">
        <v>37</v>
      </c>
      <c r="F8" s="2">
        <v>-904.07</v>
      </c>
      <c r="G8" s="2" t="s">
        <v>34</v>
      </c>
      <c r="H8" s="2">
        <v>7808.34</v>
      </c>
    </row>
    <row r="9">
      <c r="A9" s="2" t="s">
        <v>32</v>
      </c>
      <c r="B9" s="5">
        <v>44186.0</v>
      </c>
      <c r="C9" s="2" t="s">
        <v>38</v>
      </c>
      <c r="D9" s="2" t="s">
        <v>4</v>
      </c>
      <c r="E9" s="2" t="s">
        <v>16</v>
      </c>
      <c r="F9" s="2">
        <v>-339.0</v>
      </c>
      <c r="G9" s="2" t="s">
        <v>39</v>
      </c>
      <c r="H9" s="2">
        <v>8712.41</v>
      </c>
    </row>
    <row r="10">
      <c r="A10" s="2" t="s">
        <v>32</v>
      </c>
      <c r="B10" s="5">
        <v>44180.0</v>
      </c>
      <c r="C10" s="2" t="s">
        <v>40</v>
      </c>
      <c r="D10" s="2" t="s">
        <v>5</v>
      </c>
      <c r="E10" s="2" t="s">
        <v>11</v>
      </c>
      <c r="F10" s="2">
        <v>-379.07</v>
      </c>
      <c r="G10" s="2" t="s">
        <v>41</v>
      </c>
      <c r="H10" s="2">
        <v>9051.41</v>
      </c>
    </row>
    <row r="11">
      <c r="A11" s="2" t="s">
        <v>29</v>
      </c>
      <c r="B11" s="5">
        <v>44179.0</v>
      </c>
      <c r="C11" s="2" t="s">
        <v>42</v>
      </c>
      <c r="D11" s="2" t="s">
        <v>3</v>
      </c>
      <c r="E11" s="2" t="s">
        <v>7</v>
      </c>
      <c r="F11" s="2">
        <v>1781.3</v>
      </c>
      <c r="G11" s="2" t="s">
        <v>43</v>
      </c>
      <c r="H11" s="2">
        <v>9430.48</v>
      </c>
    </row>
    <row r="12">
      <c r="A12" s="2" t="s">
        <v>29</v>
      </c>
      <c r="B12" s="6">
        <v>44173.0</v>
      </c>
      <c r="C12" s="2" t="s">
        <v>44</v>
      </c>
      <c r="D12" s="2" t="s">
        <v>5</v>
      </c>
      <c r="E12" s="2" t="s">
        <v>8</v>
      </c>
      <c r="F12" s="2">
        <v>4100.0</v>
      </c>
      <c r="G12" s="2" t="s">
        <v>43</v>
      </c>
      <c r="H12" s="2">
        <v>7649.18</v>
      </c>
    </row>
    <row r="13">
      <c r="A13" s="2" t="s">
        <v>32</v>
      </c>
      <c r="B13" s="6">
        <v>44169.0</v>
      </c>
      <c r="C13" s="2" t="s">
        <v>45</v>
      </c>
      <c r="D13" s="2" t="s">
        <v>4</v>
      </c>
      <c r="E13" s="2" t="s">
        <v>17</v>
      </c>
      <c r="F13" s="2">
        <v>-79.01</v>
      </c>
      <c r="G13" s="2" t="s">
        <v>39</v>
      </c>
      <c r="H13" s="2">
        <v>3549.18</v>
      </c>
    </row>
    <row r="14">
      <c r="A14" s="2" t="s">
        <v>32</v>
      </c>
      <c r="B14" s="6">
        <v>44168.0</v>
      </c>
      <c r="C14" s="2" t="s">
        <v>46</v>
      </c>
      <c r="D14" s="2" t="s">
        <v>4</v>
      </c>
      <c r="E14" s="2" t="s">
        <v>17</v>
      </c>
      <c r="F14" s="2">
        <v>-927.71</v>
      </c>
      <c r="G14" s="2" t="s">
        <v>39</v>
      </c>
      <c r="H14" s="2">
        <v>3628.19</v>
      </c>
    </row>
    <row r="15">
      <c r="A15" s="2" t="s">
        <v>32</v>
      </c>
      <c r="B15" s="6">
        <v>44166.0</v>
      </c>
      <c r="C15" s="2" t="s">
        <v>47</v>
      </c>
      <c r="D15" s="2" t="s">
        <v>5</v>
      </c>
      <c r="E15" s="2" t="s">
        <v>37</v>
      </c>
      <c r="F15" s="2">
        <v>-2887.0</v>
      </c>
      <c r="G15" s="2" t="s">
        <v>41</v>
      </c>
      <c r="H15" s="2">
        <v>4555.9</v>
      </c>
    </row>
    <row r="16">
      <c r="A16" s="2" t="s">
        <v>32</v>
      </c>
      <c r="B16" s="6">
        <v>44166.0</v>
      </c>
      <c r="C16" s="2" t="s">
        <v>48</v>
      </c>
      <c r="D16" s="2" t="s">
        <v>4</v>
      </c>
      <c r="E16" s="2" t="s">
        <v>17</v>
      </c>
      <c r="F16" s="2">
        <v>-740.0</v>
      </c>
      <c r="G16" s="2" t="s">
        <v>39</v>
      </c>
      <c r="H16" s="2">
        <v>7442.9</v>
      </c>
    </row>
    <row r="17">
      <c r="A17" s="2" t="s">
        <v>32</v>
      </c>
      <c r="B17" s="5">
        <v>44162.0</v>
      </c>
      <c r="C17" s="2" t="s">
        <v>49</v>
      </c>
      <c r="D17" s="2" t="s">
        <v>4</v>
      </c>
      <c r="E17" s="2" t="s">
        <v>9</v>
      </c>
      <c r="F17" s="2">
        <v>-25.0</v>
      </c>
      <c r="G17" s="2" t="s">
        <v>50</v>
      </c>
      <c r="H17" s="2">
        <v>8182.9</v>
      </c>
    </row>
    <row r="18">
      <c r="A18" s="2" t="s">
        <v>32</v>
      </c>
      <c r="B18" s="5">
        <v>44162.0</v>
      </c>
      <c r="C18" s="2" t="s">
        <v>51</v>
      </c>
      <c r="D18" s="2" t="s">
        <v>4</v>
      </c>
      <c r="E18" s="2" t="s">
        <v>8</v>
      </c>
      <c r="F18" s="2">
        <v>-9805.0</v>
      </c>
      <c r="G18" s="2" t="s">
        <v>52</v>
      </c>
      <c r="H18" s="2">
        <v>8207.9</v>
      </c>
    </row>
    <row r="19">
      <c r="A19" s="2" t="s">
        <v>32</v>
      </c>
      <c r="B19" s="5">
        <v>44162.0</v>
      </c>
      <c r="C19" s="2" t="s">
        <v>53</v>
      </c>
      <c r="D19" s="2" t="s">
        <v>4</v>
      </c>
      <c r="E19" s="2" t="s">
        <v>11</v>
      </c>
      <c r="F19" s="2">
        <v>-189.0</v>
      </c>
      <c r="G19" s="2" t="s">
        <v>34</v>
      </c>
      <c r="H19" s="2">
        <v>18012.9</v>
      </c>
    </row>
    <row r="20">
      <c r="A20" s="2" t="s">
        <v>32</v>
      </c>
      <c r="B20" s="5">
        <v>44160.0</v>
      </c>
      <c r="C20" s="2" t="s">
        <v>54</v>
      </c>
      <c r="D20" s="2" t="s">
        <v>3</v>
      </c>
      <c r="E20" s="2" t="s">
        <v>37</v>
      </c>
      <c r="F20" s="2">
        <v>-904.07</v>
      </c>
      <c r="G20" s="2" t="s">
        <v>34</v>
      </c>
      <c r="H20" s="2">
        <v>18201.9</v>
      </c>
    </row>
    <row r="21">
      <c r="A21" s="2" t="s">
        <v>32</v>
      </c>
      <c r="B21" s="5">
        <v>44158.0</v>
      </c>
      <c r="C21" s="2" t="s">
        <v>55</v>
      </c>
      <c r="D21" s="2" t="s">
        <v>4</v>
      </c>
      <c r="E21" s="2" t="s">
        <v>16</v>
      </c>
      <c r="F21" s="2">
        <v>-339.0</v>
      </c>
      <c r="G21" s="2" t="s">
        <v>39</v>
      </c>
      <c r="H21" s="2">
        <v>19105.97</v>
      </c>
    </row>
    <row r="22">
      <c r="A22" s="2" t="s">
        <v>32</v>
      </c>
      <c r="B22" s="5">
        <v>44152.0</v>
      </c>
      <c r="C22" s="2" t="s">
        <v>56</v>
      </c>
      <c r="D22" s="2" t="s">
        <v>5</v>
      </c>
      <c r="E22" s="2" t="s">
        <v>11</v>
      </c>
      <c r="F22" s="2">
        <v>-379.07</v>
      </c>
      <c r="G22" s="2" t="s">
        <v>41</v>
      </c>
      <c r="H22" s="2">
        <v>19444.97</v>
      </c>
    </row>
    <row r="23">
      <c r="A23" s="2" t="s">
        <v>29</v>
      </c>
      <c r="B23" s="5">
        <v>44148.0</v>
      </c>
      <c r="C23" s="2" t="s">
        <v>42</v>
      </c>
      <c r="D23" s="2" t="s">
        <v>3</v>
      </c>
      <c r="E23" s="2" t="s">
        <v>7</v>
      </c>
      <c r="F23" s="2">
        <v>1781.3</v>
      </c>
      <c r="G23" s="2" t="s">
        <v>43</v>
      </c>
      <c r="H23" s="2">
        <v>19824.04</v>
      </c>
    </row>
    <row r="24">
      <c r="A24" s="2" t="s">
        <v>29</v>
      </c>
      <c r="B24" s="6">
        <v>44144.0</v>
      </c>
      <c r="C24" s="2" t="s">
        <v>57</v>
      </c>
      <c r="D24" s="2" t="s">
        <v>58</v>
      </c>
      <c r="E24" s="2" t="s">
        <v>59</v>
      </c>
      <c r="F24" s="2">
        <v>487.31</v>
      </c>
      <c r="G24" s="2" t="s">
        <v>60</v>
      </c>
      <c r="H24" s="2">
        <v>18042.74</v>
      </c>
    </row>
    <row r="25">
      <c r="A25" s="2" t="s">
        <v>61</v>
      </c>
      <c r="B25" s="6">
        <v>44144.0</v>
      </c>
      <c r="C25" s="2" t="s">
        <v>62</v>
      </c>
      <c r="D25" s="2" t="s">
        <v>58</v>
      </c>
      <c r="E25" s="2" t="s">
        <v>63</v>
      </c>
      <c r="F25" s="2">
        <v>5000.0</v>
      </c>
      <c r="G25" s="2" t="s">
        <v>64</v>
      </c>
      <c r="H25" s="2">
        <v>17555.43</v>
      </c>
      <c r="I25" s="2">
        <v>1.0</v>
      </c>
    </row>
    <row r="26">
      <c r="A26" s="2" t="s">
        <v>29</v>
      </c>
      <c r="B26" s="6">
        <v>44144.0</v>
      </c>
      <c r="C26" s="2" t="s">
        <v>65</v>
      </c>
      <c r="D26" s="2" t="s">
        <v>4</v>
      </c>
      <c r="E26" s="2" t="s">
        <v>13</v>
      </c>
      <c r="F26" s="2">
        <v>0.02</v>
      </c>
      <c r="G26" s="2" t="s">
        <v>66</v>
      </c>
      <c r="H26" s="2">
        <v>12555.43</v>
      </c>
    </row>
    <row r="27">
      <c r="A27" s="2" t="s">
        <v>32</v>
      </c>
      <c r="B27" s="6">
        <v>44137.0</v>
      </c>
      <c r="C27" s="2" t="s">
        <v>47</v>
      </c>
      <c r="D27" s="2" t="s">
        <v>5</v>
      </c>
      <c r="E27" s="2" t="s">
        <v>37</v>
      </c>
      <c r="F27" s="2">
        <v>-2887.0</v>
      </c>
      <c r="G27" s="2" t="s">
        <v>41</v>
      </c>
      <c r="H27" s="2">
        <v>12555.41</v>
      </c>
    </row>
    <row r="28">
      <c r="A28" s="2" t="s">
        <v>29</v>
      </c>
      <c r="B28" s="6">
        <v>44137.0</v>
      </c>
      <c r="C28" s="2" t="s">
        <v>44</v>
      </c>
      <c r="D28" s="2" t="s">
        <v>5</v>
      </c>
      <c r="E28" s="2" t="s">
        <v>8</v>
      </c>
      <c r="F28" s="2">
        <v>4100.0</v>
      </c>
      <c r="G28" s="2" t="s">
        <v>43</v>
      </c>
      <c r="H28" s="2">
        <v>15442.41</v>
      </c>
    </row>
    <row r="29">
      <c r="A29" s="2" t="s">
        <v>29</v>
      </c>
      <c r="B29" s="5">
        <v>44134.0</v>
      </c>
      <c r="C29" s="2" t="s">
        <v>65</v>
      </c>
      <c r="D29" s="2" t="s">
        <v>4</v>
      </c>
      <c r="E29" s="2" t="s">
        <v>13</v>
      </c>
      <c r="F29" s="2">
        <v>0.28</v>
      </c>
      <c r="G29" s="2" t="s">
        <v>66</v>
      </c>
      <c r="H29" s="2">
        <v>11342.41</v>
      </c>
    </row>
    <row r="30">
      <c r="A30" s="2" t="s">
        <v>32</v>
      </c>
      <c r="B30" s="5">
        <v>44133.0</v>
      </c>
      <c r="C30" s="2" t="s">
        <v>67</v>
      </c>
      <c r="D30" s="2" t="s">
        <v>4</v>
      </c>
      <c r="E30" s="2" t="s">
        <v>11</v>
      </c>
      <c r="F30" s="2">
        <v>-189.0</v>
      </c>
      <c r="G30" s="2" t="s">
        <v>34</v>
      </c>
      <c r="H30" s="2">
        <v>11342.13</v>
      </c>
    </row>
    <row r="31">
      <c r="A31" s="2" t="s">
        <v>29</v>
      </c>
      <c r="B31" s="5">
        <v>44133.0</v>
      </c>
      <c r="C31" s="2" t="s">
        <v>68</v>
      </c>
      <c r="D31" s="2" t="s">
        <v>4</v>
      </c>
      <c r="E31" s="2" t="s">
        <v>8</v>
      </c>
      <c r="F31" s="2">
        <v>1395.0</v>
      </c>
      <c r="G31" s="2" t="s">
        <v>31</v>
      </c>
      <c r="H31" s="2">
        <v>11531.13</v>
      </c>
    </row>
    <row r="32">
      <c r="A32" s="2" t="s">
        <v>29</v>
      </c>
      <c r="B32" s="5">
        <v>44132.0</v>
      </c>
      <c r="C32" s="2" t="s">
        <v>69</v>
      </c>
      <c r="D32" s="2" t="s">
        <v>4</v>
      </c>
      <c r="E32" s="2" t="s">
        <v>8</v>
      </c>
      <c r="F32" s="2">
        <v>10.0</v>
      </c>
      <c r="G32" s="2" t="s">
        <v>31</v>
      </c>
      <c r="H32" s="2">
        <v>10136.13</v>
      </c>
    </row>
    <row r="33">
      <c r="A33" s="2" t="s">
        <v>29</v>
      </c>
      <c r="B33" s="5">
        <v>44132.0</v>
      </c>
      <c r="C33" s="2" t="s">
        <v>70</v>
      </c>
      <c r="D33" s="2" t="s">
        <v>4</v>
      </c>
      <c r="E33" s="2" t="s">
        <v>8</v>
      </c>
      <c r="F33" s="2">
        <v>1990.0</v>
      </c>
      <c r="G33" s="2" t="s">
        <v>31</v>
      </c>
      <c r="H33" s="2">
        <v>10126.13</v>
      </c>
    </row>
    <row r="34">
      <c r="A34" s="2" t="s">
        <v>32</v>
      </c>
      <c r="B34" s="5">
        <v>44131.0</v>
      </c>
      <c r="C34" s="2" t="s">
        <v>71</v>
      </c>
      <c r="D34" s="2" t="s">
        <v>3</v>
      </c>
      <c r="E34" s="2" t="s">
        <v>15</v>
      </c>
      <c r="F34" s="2">
        <v>-5122.61</v>
      </c>
      <c r="G34" s="2" t="s">
        <v>41</v>
      </c>
      <c r="H34" s="2">
        <v>8136.13</v>
      </c>
    </row>
    <row r="35">
      <c r="A35" s="2" t="s">
        <v>32</v>
      </c>
      <c r="B35" s="5">
        <v>44131.0</v>
      </c>
      <c r="C35" s="2" t="s">
        <v>72</v>
      </c>
      <c r="D35" s="2" t="s">
        <v>5</v>
      </c>
      <c r="E35" s="2" t="s">
        <v>15</v>
      </c>
      <c r="F35" s="2">
        <v>-7228.49</v>
      </c>
      <c r="G35" s="2" t="s">
        <v>41</v>
      </c>
      <c r="H35" s="2">
        <v>13258.74</v>
      </c>
    </row>
    <row r="36">
      <c r="A36" s="2" t="s">
        <v>32</v>
      </c>
      <c r="B36" s="5">
        <v>44131.0</v>
      </c>
      <c r="C36" s="2" t="s">
        <v>73</v>
      </c>
      <c r="D36" s="2" t="s">
        <v>58</v>
      </c>
      <c r="E36" s="2" t="s">
        <v>59</v>
      </c>
      <c r="F36" s="2">
        <v>-17738.54</v>
      </c>
      <c r="G36" s="2" t="s">
        <v>41</v>
      </c>
      <c r="H36" s="2">
        <v>20487.23</v>
      </c>
    </row>
    <row r="37">
      <c r="A37" s="2" t="s">
        <v>32</v>
      </c>
      <c r="B37" s="5">
        <v>44131.0</v>
      </c>
      <c r="C37" s="2" t="s">
        <v>74</v>
      </c>
      <c r="D37" s="2" t="s">
        <v>3</v>
      </c>
      <c r="E37" s="2" t="s">
        <v>37</v>
      </c>
      <c r="F37" s="2">
        <v>-904.07</v>
      </c>
      <c r="G37" s="2" t="s">
        <v>34</v>
      </c>
      <c r="H37" s="2">
        <v>38225.77</v>
      </c>
    </row>
    <row r="38">
      <c r="A38" s="2" t="s">
        <v>29</v>
      </c>
      <c r="B38" s="5">
        <v>44127.0</v>
      </c>
      <c r="C38" s="2" t="s">
        <v>75</v>
      </c>
      <c r="D38" s="2" t="s">
        <v>58</v>
      </c>
      <c r="E38" s="2" t="s">
        <v>59</v>
      </c>
      <c r="F38" s="2">
        <v>10.0</v>
      </c>
      <c r="G38" s="2" t="s">
        <v>76</v>
      </c>
      <c r="H38" s="2">
        <v>39129.84</v>
      </c>
    </row>
    <row r="39">
      <c r="A39" s="2" t="s">
        <v>32</v>
      </c>
      <c r="B39" s="5">
        <v>44119.0</v>
      </c>
      <c r="C39" s="2" t="s">
        <v>77</v>
      </c>
      <c r="D39" s="2" t="s">
        <v>5</v>
      </c>
      <c r="E39" s="2" t="s">
        <v>11</v>
      </c>
      <c r="F39" s="2">
        <v>-379.07</v>
      </c>
      <c r="G39" s="2" t="s">
        <v>41</v>
      </c>
      <c r="H39" s="2">
        <v>39119.84</v>
      </c>
    </row>
    <row r="40">
      <c r="A40" s="2" t="s">
        <v>32</v>
      </c>
      <c r="B40" s="5">
        <v>44118.0</v>
      </c>
      <c r="C40" s="2" t="s">
        <v>78</v>
      </c>
      <c r="D40" s="2" t="s">
        <v>4</v>
      </c>
      <c r="E40" s="2" t="s">
        <v>17</v>
      </c>
      <c r="F40" s="2">
        <v>-190.0</v>
      </c>
      <c r="G40" s="2" t="s">
        <v>39</v>
      </c>
      <c r="H40" s="2">
        <v>39498.91</v>
      </c>
    </row>
    <row r="41">
      <c r="A41" s="2" t="s">
        <v>32</v>
      </c>
      <c r="B41" s="5">
        <v>44118.0</v>
      </c>
      <c r="C41" s="2" t="s">
        <v>79</v>
      </c>
      <c r="D41" s="2" t="s">
        <v>4</v>
      </c>
      <c r="E41" s="2" t="s">
        <v>17</v>
      </c>
      <c r="F41" s="2">
        <v>-10.0</v>
      </c>
      <c r="G41" s="2" t="s">
        <v>39</v>
      </c>
      <c r="H41" s="2">
        <v>39688.91</v>
      </c>
    </row>
    <row r="42">
      <c r="A42" s="2" t="s">
        <v>29</v>
      </c>
      <c r="B42" s="5">
        <v>44118.0</v>
      </c>
      <c r="C42" s="2" t="s">
        <v>42</v>
      </c>
      <c r="D42" s="2" t="s">
        <v>3</v>
      </c>
      <c r="E42" s="2" t="s">
        <v>7</v>
      </c>
      <c r="F42" s="2">
        <v>1781.3</v>
      </c>
      <c r="G42" s="2" t="s">
        <v>43</v>
      </c>
      <c r="H42" s="2">
        <v>39698.91</v>
      </c>
    </row>
    <row r="43">
      <c r="A43" s="2" t="s">
        <v>32</v>
      </c>
      <c r="B43" s="5">
        <v>44117.0</v>
      </c>
      <c r="C43" s="2" t="s">
        <v>80</v>
      </c>
      <c r="D43" s="2" t="s">
        <v>4</v>
      </c>
      <c r="E43" s="2" t="s">
        <v>16</v>
      </c>
      <c r="F43" s="2">
        <v>-339.0</v>
      </c>
      <c r="G43" s="2" t="s">
        <v>39</v>
      </c>
      <c r="H43" s="2">
        <v>37917.61</v>
      </c>
    </row>
    <row r="44">
      <c r="A44" s="2" t="s">
        <v>32</v>
      </c>
      <c r="B44" s="5">
        <v>44117.0</v>
      </c>
      <c r="C44" s="2" t="s">
        <v>81</v>
      </c>
      <c r="D44" s="2" t="s">
        <v>4</v>
      </c>
      <c r="E44" s="2" t="s">
        <v>11</v>
      </c>
      <c r="F44" s="2">
        <v>-43.9</v>
      </c>
      <c r="G44" s="2" t="s">
        <v>34</v>
      </c>
      <c r="H44" s="2">
        <v>38256.61</v>
      </c>
    </row>
    <row r="45">
      <c r="A45" s="2" t="s">
        <v>32</v>
      </c>
      <c r="B45" s="6">
        <v>44109.0</v>
      </c>
      <c r="C45" s="2" t="s">
        <v>82</v>
      </c>
      <c r="D45" s="2" t="s">
        <v>4</v>
      </c>
      <c r="E45" s="2" t="s">
        <v>16</v>
      </c>
      <c r="F45" s="2">
        <v>-339.0</v>
      </c>
      <c r="G45" s="2" t="s">
        <v>39</v>
      </c>
      <c r="H45" s="2">
        <v>38300.51</v>
      </c>
    </row>
    <row r="46">
      <c r="A46" s="2" t="s">
        <v>32</v>
      </c>
      <c r="B46" s="6">
        <v>44109.0</v>
      </c>
      <c r="C46" s="2" t="s">
        <v>83</v>
      </c>
      <c r="D46" s="2" t="s">
        <v>4</v>
      </c>
      <c r="E46" s="2" t="s">
        <v>16</v>
      </c>
      <c r="F46" s="2">
        <v>-339.0</v>
      </c>
      <c r="G46" s="2" t="s">
        <v>39</v>
      </c>
      <c r="H46" s="2">
        <v>38639.51</v>
      </c>
    </row>
    <row r="47">
      <c r="A47" s="2" t="s">
        <v>29</v>
      </c>
      <c r="B47" s="6">
        <v>44106.0</v>
      </c>
      <c r="C47" s="2" t="s">
        <v>44</v>
      </c>
      <c r="D47" s="2" t="s">
        <v>5</v>
      </c>
      <c r="E47" s="2" t="s">
        <v>8</v>
      </c>
      <c r="F47" s="2">
        <v>4100.0</v>
      </c>
      <c r="G47" s="2" t="s">
        <v>43</v>
      </c>
      <c r="H47" s="2">
        <v>38978.51</v>
      </c>
    </row>
    <row r="48">
      <c r="A48" s="2" t="s">
        <v>32</v>
      </c>
      <c r="B48" s="6">
        <v>44105.0</v>
      </c>
      <c r="C48" s="2" t="s">
        <v>47</v>
      </c>
      <c r="D48" s="2" t="s">
        <v>5</v>
      </c>
      <c r="E48" s="2" t="s">
        <v>37</v>
      </c>
      <c r="F48" s="2">
        <v>-2887.0</v>
      </c>
      <c r="G48" s="2" t="s">
        <v>41</v>
      </c>
      <c r="H48" s="2">
        <v>34878.51</v>
      </c>
    </row>
    <row r="49">
      <c r="A49" s="2" t="s">
        <v>29</v>
      </c>
      <c r="B49" s="6">
        <v>44104.0</v>
      </c>
      <c r="C49" s="2" t="s">
        <v>65</v>
      </c>
      <c r="D49" s="2" t="s">
        <v>4</v>
      </c>
      <c r="E49" s="2" t="s">
        <v>13</v>
      </c>
      <c r="F49" s="2">
        <v>0.31</v>
      </c>
      <c r="G49" s="2" t="s">
        <v>66</v>
      </c>
      <c r="H49" s="2">
        <v>37765.51</v>
      </c>
    </row>
    <row r="50">
      <c r="A50" s="2" t="s">
        <v>32</v>
      </c>
      <c r="B50" s="6">
        <v>44102.0</v>
      </c>
      <c r="C50" s="2" t="s">
        <v>84</v>
      </c>
      <c r="D50" s="2" t="s">
        <v>4</v>
      </c>
      <c r="E50" s="2" t="s">
        <v>11</v>
      </c>
      <c r="F50" s="2">
        <v>-189.0</v>
      </c>
      <c r="G50" s="2" t="s">
        <v>34</v>
      </c>
      <c r="H50" s="2">
        <v>37765.2</v>
      </c>
    </row>
    <row r="51">
      <c r="A51" s="2" t="s">
        <v>32</v>
      </c>
      <c r="B51" s="6">
        <v>44099.0</v>
      </c>
      <c r="C51" s="2" t="s">
        <v>85</v>
      </c>
      <c r="D51" s="2" t="s">
        <v>3</v>
      </c>
      <c r="E51" s="2" t="s">
        <v>37</v>
      </c>
      <c r="F51" s="2">
        <v>-904.07</v>
      </c>
      <c r="G51" s="2" t="s">
        <v>34</v>
      </c>
      <c r="H51" s="2">
        <v>37954.2</v>
      </c>
    </row>
    <row r="52">
      <c r="A52" s="2" t="s">
        <v>32</v>
      </c>
      <c r="B52" s="6">
        <v>44095.0</v>
      </c>
      <c r="C52" s="2" t="s">
        <v>86</v>
      </c>
      <c r="D52" s="2" t="s">
        <v>4</v>
      </c>
      <c r="E52" s="2" t="s">
        <v>11</v>
      </c>
      <c r="F52" s="2">
        <v>-415.8</v>
      </c>
      <c r="G52" s="2" t="s">
        <v>34</v>
      </c>
      <c r="H52" s="2">
        <v>38858.27</v>
      </c>
    </row>
    <row r="53">
      <c r="A53" s="2" t="s">
        <v>32</v>
      </c>
      <c r="B53" s="6">
        <v>44089.0</v>
      </c>
      <c r="C53" s="2" t="s">
        <v>87</v>
      </c>
      <c r="D53" s="2" t="s">
        <v>5</v>
      </c>
      <c r="E53" s="2" t="s">
        <v>11</v>
      </c>
      <c r="F53" s="2">
        <v>-379.07</v>
      </c>
      <c r="G53" s="2" t="s">
        <v>41</v>
      </c>
      <c r="H53" s="2">
        <v>39274.07</v>
      </c>
    </row>
    <row r="54">
      <c r="A54" s="2" t="s">
        <v>29</v>
      </c>
      <c r="B54" s="6">
        <v>44088.0</v>
      </c>
      <c r="C54" s="2" t="s">
        <v>42</v>
      </c>
      <c r="D54" s="2" t="s">
        <v>3</v>
      </c>
      <c r="E54" s="2" t="s">
        <v>7</v>
      </c>
      <c r="F54" s="2">
        <v>1781.3</v>
      </c>
      <c r="G54" s="2" t="s">
        <v>43</v>
      </c>
      <c r="H54" s="2">
        <v>39653.14</v>
      </c>
    </row>
    <row r="55">
      <c r="A55" s="2" t="s">
        <v>29</v>
      </c>
      <c r="B55" s="6">
        <v>44076.0</v>
      </c>
      <c r="C55" s="2" t="s">
        <v>44</v>
      </c>
      <c r="D55" s="2" t="s">
        <v>5</v>
      </c>
      <c r="E55" s="2" t="s">
        <v>8</v>
      </c>
      <c r="F55" s="2">
        <v>4100.0</v>
      </c>
      <c r="G55" s="2" t="s">
        <v>43</v>
      </c>
      <c r="H55" s="2">
        <v>37871.84</v>
      </c>
    </row>
    <row r="56">
      <c r="A56" s="2" t="s">
        <v>32</v>
      </c>
      <c r="B56" s="6">
        <v>44075.0</v>
      </c>
      <c r="C56" s="2" t="s">
        <v>47</v>
      </c>
      <c r="D56" s="2" t="s">
        <v>5</v>
      </c>
      <c r="E56" s="2" t="s">
        <v>37</v>
      </c>
      <c r="F56" s="2">
        <v>-2887.0</v>
      </c>
      <c r="G56" s="2" t="s">
        <v>41</v>
      </c>
      <c r="H56" s="2">
        <v>33771.84</v>
      </c>
    </row>
    <row r="57">
      <c r="A57" s="2" t="s">
        <v>29</v>
      </c>
      <c r="B57" s="6">
        <v>44074.0</v>
      </c>
      <c r="C57" s="2" t="s">
        <v>65</v>
      </c>
      <c r="D57" s="2" t="s">
        <v>4</v>
      </c>
      <c r="E57" s="2" t="s">
        <v>13</v>
      </c>
      <c r="F57" s="2">
        <v>0.31</v>
      </c>
      <c r="G57" s="2" t="s">
        <v>66</v>
      </c>
      <c r="H57" s="2">
        <v>36658.84</v>
      </c>
    </row>
    <row r="58">
      <c r="A58" s="2" t="s">
        <v>32</v>
      </c>
      <c r="B58" s="6">
        <v>44070.0</v>
      </c>
      <c r="C58" s="2" t="s">
        <v>88</v>
      </c>
      <c r="D58" s="2" t="s">
        <v>3</v>
      </c>
      <c r="E58" s="2" t="s">
        <v>37</v>
      </c>
      <c r="F58" s="2">
        <v>-904.07</v>
      </c>
      <c r="G58" s="2" t="s">
        <v>34</v>
      </c>
      <c r="H58" s="2">
        <v>36658.53</v>
      </c>
    </row>
    <row r="59">
      <c r="A59" s="2" t="s">
        <v>32</v>
      </c>
      <c r="B59" s="6">
        <v>44060.0</v>
      </c>
      <c r="C59" s="2" t="s">
        <v>89</v>
      </c>
      <c r="D59" s="2" t="s">
        <v>5</v>
      </c>
      <c r="E59" s="2" t="s">
        <v>11</v>
      </c>
      <c r="F59" s="2">
        <v>-379.07</v>
      </c>
      <c r="G59" s="2" t="s">
        <v>41</v>
      </c>
      <c r="H59" s="2">
        <v>37562.6</v>
      </c>
    </row>
    <row r="60">
      <c r="A60" s="2" t="s">
        <v>29</v>
      </c>
      <c r="B60" s="6">
        <v>44056.0</v>
      </c>
      <c r="C60" s="2" t="s">
        <v>42</v>
      </c>
      <c r="D60" s="2" t="s">
        <v>3</v>
      </c>
      <c r="E60" s="2" t="s">
        <v>7</v>
      </c>
      <c r="F60" s="2">
        <v>1781.3</v>
      </c>
      <c r="G60" s="2" t="s">
        <v>43</v>
      </c>
      <c r="H60" s="2">
        <v>37941.67</v>
      </c>
    </row>
    <row r="61">
      <c r="A61" s="2" t="s">
        <v>32</v>
      </c>
      <c r="B61" s="6">
        <v>44046.0</v>
      </c>
      <c r="C61" s="2" t="s">
        <v>47</v>
      </c>
      <c r="D61" s="2" t="s">
        <v>5</v>
      </c>
      <c r="E61" s="2" t="s">
        <v>37</v>
      </c>
      <c r="F61" s="2">
        <v>-2887.0</v>
      </c>
      <c r="G61" s="2" t="s">
        <v>41</v>
      </c>
      <c r="H61" s="2">
        <v>36160.37</v>
      </c>
    </row>
    <row r="62">
      <c r="A62" s="2" t="s">
        <v>29</v>
      </c>
      <c r="B62" s="6">
        <v>44046.0</v>
      </c>
      <c r="C62" s="2" t="s">
        <v>44</v>
      </c>
      <c r="D62" s="2" t="s">
        <v>5</v>
      </c>
      <c r="E62" s="2" t="s">
        <v>8</v>
      </c>
      <c r="F62" s="2">
        <v>4100.0</v>
      </c>
      <c r="G62" s="2" t="s">
        <v>43</v>
      </c>
      <c r="H62" s="2">
        <v>39047.37</v>
      </c>
    </row>
    <row r="63">
      <c r="A63" s="2" t="s">
        <v>29</v>
      </c>
      <c r="B63" s="6">
        <v>44043.0</v>
      </c>
      <c r="C63" s="2" t="s">
        <v>65</v>
      </c>
      <c r="D63" s="2" t="s">
        <v>4</v>
      </c>
      <c r="E63" s="2" t="s">
        <v>13</v>
      </c>
      <c r="F63" s="2">
        <v>0.23</v>
      </c>
      <c r="G63" s="2" t="s">
        <v>66</v>
      </c>
      <c r="H63" s="2">
        <v>34947.37</v>
      </c>
    </row>
    <row r="64">
      <c r="A64" s="2" t="s">
        <v>32</v>
      </c>
      <c r="B64" s="6">
        <v>44039.0</v>
      </c>
      <c r="C64" s="2" t="s">
        <v>90</v>
      </c>
      <c r="D64" s="2" t="s">
        <v>3</v>
      </c>
      <c r="E64" s="2" t="s">
        <v>37</v>
      </c>
      <c r="F64" s="2">
        <v>-904.07</v>
      </c>
      <c r="G64" s="2" t="s">
        <v>34</v>
      </c>
      <c r="H64" s="2">
        <v>34947.14</v>
      </c>
    </row>
    <row r="65">
      <c r="A65" s="2" t="s">
        <v>32</v>
      </c>
      <c r="B65" s="6">
        <v>44032.0</v>
      </c>
      <c r="C65" s="2" t="s">
        <v>91</v>
      </c>
      <c r="D65" s="2" t="s">
        <v>4</v>
      </c>
      <c r="E65" s="2" t="s">
        <v>11</v>
      </c>
      <c r="F65" s="2">
        <v>-189.0</v>
      </c>
      <c r="G65" s="2" t="s">
        <v>34</v>
      </c>
      <c r="H65" s="2">
        <v>35851.21</v>
      </c>
    </row>
    <row r="66">
      <c r="A66" s="2" t="s">
        <v>32</v>
      </c>
      <c r="B66" s="6">
        <v>44032.0</v>
      </c>
      <c r="C66" s="2" t="s">
        <v>92</v>
      </c>
      <c r="D66" s="2" t="s">
        <v>4</v>
      </c>
      <c r="E66" s="2" t="s">
        <v>10</v>
      </c>
      <c r="F66" s="2">
        <v>-1050.0</v>
      </c>
      <c r="G66" s="2" t="s">
        <v>39</v>
      </c>
      <c r="H66" s="2">
        <v>36040.21</v>
      </c>
    </row>
    <row r="67">
      <c r="A67" s="2" t="s">
        <v>32</v>
      </c>
      <c r="B67" s="6">
        <v>44032.0</v>
      </c>
      <c r="C67" s="2" t="s">
        <v>93</v>
      </c>
      <c r="D67" s="2" t="s">
        <v>4</v>
      </c>
      <c r="E67" s="2" t="s">
        <v>16</v>
      </c>
      <c r="F67" s="2">
        <v>-339.0</v>
      </c>
      <c r="G67" s="2" t="s">
        <v>39</v>
      </c>
      <c r="H67" s="2">
        <v>37090.21</v>
      </c>
    </row>
    <row r="68">
      <c r="A68" s="2" t="s">
        <v>32</v>
      </c>
      <c r="B68" s="6">
        <v>44027.0</v>
      </c>
      <c r="C68" s="2" t="s">
        <v>94</v>
      </c>
      <c r="D68" s="2" t="s">
        <v>5</v>
      </c>
      <c r="E68" s="2" t="s">
        <v>11</v>
      </c>
      <c r="F68" s="2">
        <v>-379.07</v>
      </c>
      <c r="G68" s="2" t="s">
        <v>41</v>
      </c>
      <c r="H68" s="2">
        <v>37429.21</v>
      </c>
    </row>
    <row r="69">
      <c r="A69" s="2" t="s">
        <v>29</v>
      </c>
      <c r="B69" s="6">
        <v>44025.0</v>
      </c>
      <c r="C69" s="2" t="s">
        <v>42</v>
      </c>
      <c r="D69" s="2" t="s">
        <v>3</v>
      </c>
      <c r="E69" s="2" t="s">
        <v>7</v>
      </c>
      <c r="F69" s="2">
        <v>1637.3</v>
      </c>
      <c r="G69" s="2" t="s">
        <v>43</v>
      </c>
      <c r="H69" s="2">
        <v>37808.28</v>
      </c>
    </row>
    <row r="70">
      <c r="A70" s="2" t="s">
        <v>61</v>
      </c>
      <c r="B70" s="6">
        <v>44025.0</v>
      </c>
      <c r="C70" s="2" t="s">
        <v>62</v>
      </c>
      <c r="D70" s="2" t="s">
        <v>4</v>
      </c>
      <c r="E70" s="2" t="s">
        <v>8</v>
      </c>
      <c r="F70" s="2">
        <v>20000.0</v>
      </c>
      <c r="G70" s="2" t="s">
        <v>64</v>
      </c>
      <c r="H70" s="2">
        <v>36170.98</v>
      </c>
      <c r="I70" s="2">
        <v>1.0</v>
      </c>
    </row>
    <row r="71">
      <c r="A71" s="2" t="s">
        <v>29</v>
      </c>
      <c r="B71" s="6">
        <v>44020.0</v>
      </c>
      <c r="C71" s="2" t="s">
        <v>44</v>
      </c>
      <c r="D71" s="2" t="s">
        <v>5</v>
      </c>
      <c r="E71" s="2" t="s">
        <v>8</v>
      </c>
      <c r="F71" s="2">
        <v>4100.0</v>
      </c>
      <c r="G71" s="2" t="s">
        <v>43</v>
      </c>
      <c r="H71" s="2">
        <v>16170.98</v>
      </c>
    </row>
    <row r="72">
      <c r="A72" s="2" t="s">
        <v>32</v>
      </c>
      <c r="B72" s="6">
        <v>44013.0</v>
      </c>
      <c r="C72" s="2" t="s">
        <v>47</v>
      </c>
      <c r="D72" s="2" t="s">
        <v>5</v>
      </c>
      <c r="E72" s="2" t="s">
        <v>37</v>
      </c>
      <c r="F72" s="2">
        <v>-2887.0</v>
      </c>
      <c r="G72" s="2" t="s">
        <v>41</v>
      </c>
      <c r="H72" s="2">
        <v>12070.98</v>
      </c>
    </row>
    <row r="73">
      <c r="A73" s="2" t="s">
        <v>29</v>
      </c>
      <c r="B73" s="6">
        <v>44012.0</v>
      </c>
      <c r="C73" s="2" t="s">
        <v>65</v>
      </c>
      <c r="D73" s="2" t="s">
        <v>4</v>
      </c>
      <c r="E73" s="2" t="s">
        <v>13</v>
      </c>
      <c r="F73" s="2">
        <v>0.14</v>
      </c>
      <c r="G73" s="2" t="s">
        <v>66</v>
      </c>
      <c r="H73" s="2">
        <v>14957.98</v>
      </c>
    </row>
    <row r="74">
      <c r="A74" s="2" t="s">
        <v>32</v>
      </c>
      <c r="B74" s="6">
        <v>44007.0</v>
      </c>
      <c r="C74" s="2" t="s">
        <v>95</v>
      </c>
      <c r="D74" s="2" t="s">
        <v>3</v>
      </c>
      <c r="E74" s="2" t="s">
        <v>37</v>
      </c>
      <c r="F74" s="2">
        <v>-904.07</v>
      </c>
      <c r="G74" s="2" t="s">
        <v>34</v>
      </c>
      <c r="H74" s="2">
        <v>14957.84</v>
      </c>
    </row>
    <row r="75">
      <c r="A75" s="2" t="s">
        <v>32</v>
      </c>
      <c r="B75" s="6">
        <v>44004.0</v>
      </c>
      <c r="C75" s="2" t="s">
        <v>96</v>
      </c>
      <c r="D75" s="2" t="s">
        <v>4</v>
      </c>
      <c r="E75" s="2" t="s">
        <v>11</v>
      </c>
      <c r="F75" s="2">
        <v>-609.7</v>
      </c>
      <c r="G75" s="2" t="s">
        <v>34</v>
      </c>
      <c r="H75" s="2">
        <v>15861.91</v>
      </c>
    </row>
    <row r="76">
      <c r="A76" s="2" t="s">
        <v>32</v>
      </c>
      <c r="B76" s="6">
        <v>44004.0</v>
      </c>
      <c r="C76" s="2" t="s">
        <v>97</v>
      </c>
      <c r="D76" s="2" t="s">
        <v>4</v>
      </c>
      <c r="E76" s="2" t="s">
        <v>16</v>
      </c>
      <c r="F76" s="2">
        <v>-339.0</v>
      </c>
      <c r="G76" s="2" t="s">
        <v>39</v>
      </c>
      <c r="H76" s="2">
        <v>16471.61</v>
      </c>
    </row>
    <row r="77">
      <c r="A77" s="2" t="s">
        <v>32</v>
      </c>
      <c r="B77" s="6">
        <v>43998.0</v>
      </c>
      <c r="C77" s="2" t="s">
        <v>98</v>
      </c>
      <c r="D77" s="2" t="s">
        <v>5</v>
      </c>
      <c r="E77" s="2" t="s">
        <v>11</v>
      </c>
      <c r="F77" s="2">
        <v>-379.07</v>
      </c>
      <c r="G77" s="2" t="s">
        <v>41</v>
      </c>
      <c r="H77" s="2">
        <v>16810.61</v>
      </c>
    </row>
    <row r="78">
      <c r="A78" s="2" t="s">
        <v>29</v>
      </c>
      <c r="B78" s="6">
        <v>43994.0</v>
      </c>
      <c r="C78" s="2" t="s">
        <v>42</v>
      </c>
      <c r="D78" s="2" t="s">
        <v>3</v>
      </c>
      <c r="E78" s="2" t="s">
        <v>7</v>
      </c>
      <c r="F78" s="2">
        <v>1781.3</v>
      </c>
      <c r="G78" s="2" t="s">
        <v>43</v>
      </c>
      <c r="H78" s="2">
        <v>17189.68</v>
      </c>
    </row>
    <row r="79">
      <c r="A79" s="2" t="s">
        <v>29</v>
      </c>
      <c r="B79" s="6">
        <v>43984.0</v>
      </c>
      <c r="C79" s="2" t="s">
        <v>44</v>
      </c>
      <c r="D79" s="2" t="s">
        <v>5</v>
      </c>
      <c r="E79" s="2" t="s">
        <v>8</v>
      </c>
      <c r="F79" s="2">
        <v>4100.0</v>
      </c>
      <c r="G79" s="2" t="s">
        <v>43</v>
      </c>
      <c r="H79" s="2">
        <v>15408.38</v>
      </c>
    </row>
    <row r="80">
      <c r="A80" s="2" t="s">
        <v>32</v>
      </c>
      <c r="B80" s="6">
        <v>43983.0</v>
      </c>
      <c r="C80" s="2" t="s">
        <v>47</v>
      </c>
      <c r="D80" s="2" t="s">
        <v>5</v>
      </c>
      <c r="E80" s="2" t="s">
        <v>37</v>
      </c>
      <c r="F80" s="2">
        <v>-2887.0</v>
      </c>
      <c r="G80" s="2" t="s">
        <v>41</v>
      </c>
      <c r="H80" s="2">
        <v>11308.38</v>
      </c>
    </row>
    <row r="81">
      <c r="A81" s="2" t="s">
        <v>29</v>
      </c>
      <c r="B81" s="6">
        <v>43980.0</v>
      </c>
      <c r="C81" s="2" t="s">
        <v>65</v>
      </c>
      <c r="D81" s="2" t="s">
        <v>4</v>
      </c>
      <c r="E81" s="2" t="s">
        <v>13</v>
      </c>
      <c r="F81" s="2">
        <v>0.12</v>
      </c>
      <c r="G81" s="2" t="s">
        <v>66</v>
      </c>
      <c r="H81" s="2">
        <v>14195.38</v>
      </c>
    </row>
    <row r="82">
      <c r="A82" s="2" t="s">
        <v>32</v>
      </c>
      <c r="B82" s="6">
        <v>43978.0</v>
      </c>
      <c r="C82" s="2" t="s">
        <v>99</v>
      </c>
      <c r="D82" s="2" t="s">
        <v>3</v>
      </c>
      <c r="E82" s="2" t="s">
        <v>37</v>
      </c>
      <c r="F82" s="2">
        <v>-904.07</v>
      </c>
      <c r="G82" s="2" t="s">
        <v>34</v>
      </c>
      <c r="H82" s="2">
        <v>14195.26</v>
      </c>
    </row>
    <row r="83">
      <c r="A83" s="2" t="s">
        <v>32</v>
      </c>
      <c r="B83" s="6">
        <v>43977.0</v>
      </c>
      <c r="C83" s="2" t="s">
        <v>100</v>
      </c>
      <c r="D83" s="2" t="s">
        <v>4</v>
      </c>
      <c r="E83" s="2" t="s">
        <v>18</v>
      </c>
      <c r="F83" s="2">
        <v>-1195.0</v>
      </c>
      <c r="G83" s="2" t="s">
        <v>101</v>
      </c>
      <c r="H83" s="2">
        <v>15099.33</v>
      </c>
    </row>
    <row r="84">
      <c r="A84" s="2" t="s">
        <v>32</v>
      </c>
      <c r="B84" s="6">
        <v>43977.0</v>
      </c>
      <c r="C84" s="2" t="s">
        <v>102</v>
      </c>
      <c r="D84" s="2" t="s">
        <v>4</v>
      </c>
      <c r="E84" s="2" t="s">
        <v>18</v>
      </c>
      <c r="F84" s="2">
        <v>-5.0</v>
      </c>
      <c r="G84" s="2" t="s">
        <v>101</v>
      </c>
      <c r="H84" s="2">
        <v>16294.33</v>
      </c>
    </row>
    <row r="85">
      <c r="A85" s="2" t="s">
        <v>32</v>
      </c>
      <c r="B85" s="6">
        <v>43969.0</v>
      </c>
      <c r="C85" s="2" t="s">
        <v>103</v>
      </c>
      <c r="D85" s="2" t="s">
        <v>4</v>
      </c>
      <c r="E85" s="2" t="s">
        <v>16</v>
      </c>
      <c r="F85" s="2">
        <v>-339.0</v>
      </c>
      <c r="G85" s="2" t="s">
        <v>39</v>
      </c>
      <c r="H85" s="2">
        <v>16299.33</v>
      </c>
    </row>
    <row r="86">
      <c r="A86" s="2" t="s">
        <v>32</v>
      </c>
      <c r="B86" s="6">
        <v>43966.0</v>
      </c>
      <c r="C86" s="2" t="s">
        <v>104</v>
      </c>
      <c r="D86" s="2" t="s">
        <v>5</v>
      </c>
      <c r="E86" s="2" t="s">
        <v>11</v>
      </c>
      <c r="F86" s="2">
        <v>-379.07</v>
      </c>
      <c r="G86" s="2" t="s">
        <v>41</v>
      </c>
      <c r="H86" s="2">
        <v>16638.33</v>
      </c>
    </row>
    <row r="87">
      <c r="A87" s="2" t="s">
        <v>32</v>
      </c>
      <c r="B87" s="6">
        <v>43963.0</v>
      </c>
      <c r="C87" s="2" t="s">
        <v>105</v>
      </c>
      <c r="D87" s="2" t="s">
        <v>4</v>
      </c>
      <c r="E87" s="2" t="s">
        <v>19</v>
      </c>
      <c r="F87" s="2">
        <v>-113.45</v>
      </c>
      <c r="G87" s="2" t="s">
        <v>41</v>
      </c>
      <c r="H87" s="2">
        <v>17017.4</v>
      </c>
    </row>
    <row r="88">
      <c r="A88" s="2" t="s">
        <v>29</v>
      </c>
      <c r="B88" s="6">
        <v>43963.0</v>
      </c>
      <c r="C88" s="2" t="s">
        <v>42</v>
      </c>
      <c r="D88" s="2" t="s">
        <v>3</v>
      </c>
      <c r="E88" s="2" t="s">
        <v>7</v>
      </c>
      <c r="F88" s="2">
        <v>1581.3</v>
      </c>
      <c r="G88" s="2" t="s">
        <v>43</v>
      </c>
      <c r="H88" s="2">
        <v>17130.85</v>
      </c>
    </row>
    <row r="89">
      <c r="A89" s="2" t="s">
        <v>29</v>
      </c>
      <c r="B89" s="6">
        <v>43955.0</v>
      </c>
      <c r="C89" s="2" t="s">
        <v>44</v>
      </c>
      <c r="D89" s="2" t="s">
        <v>5</v>
      </c>
      <c r="E89" s="2" t="s">
        <v>8</v>
      </c>
      <c r="F89" s="2">
        <v>4100.0</v>
      </c>
      <c r="G89" s="2" t="s">
        <v>43</v>
      </c>
      <c r="H89" s="2">
        <v>15549.55</v>
      </c>
    </row>
    <row r="90">
      <c r="A90" s="2" t="s">
        <v>32</v>
      </c>
      <c r="B90" s="6">
        <v>43952.0</v>
      </c>
      <c r="C90" s="2" t="s">
        <v>47</v>
      </c>
      <c r="D90" s="2" t="s">
        <v>5</v>
      </c>
      <c r="E90" s="2" t="s">
        <v>37</v>
      </c>
      <c r="F90" s="2">
        <v>-2887.0</v>
      </c>
      <c r="G90" s="2" t="s">
        <v>41</v>
      </c>
      <c r="H90" s="2">
        <v>11449.55</v>
      </c>
    </row>
    <row r="91">
      <c r="A91" s="2" t="s">
        <v>29</v>
      </c>
      <c r="B91" s="6">
        <v>43951.0</v>
      </c>
      <c r="C91" s="2" t="s">
        <v>65</v>
      </c>
      <c r="D91" s="2" t="s">
        <v>4</v>
      </c>
      <c r="E91" s="2" t="s">
        <v>13</v>
      </c>
      <c r="F91" s="2">
        <v>0.12</v>
      </c>
      <c r="G91" s="2" t="s">
        <v>66</v>
      </c>
      <c r="H91" s="2">
        <v>14336.55</v>
      </c>
    </row>
    <row r="92">
      <c r="A92" s="2" t="s">
        <v>32</v>
      </c>
      <c r="B92" s="6">
        <v>43948.0</v>
      </c>
      <c r="C92" s="2" t="s">
        <v>106</v>
      </c>
      <c r="D92" s="2" t="s">
        <v>3</v>
      </c>
      <c r="E92" s="2" t="s">
        <v>37</v>
      </c>
      <c r="F92" s="2">
        <v>-904.07</v>
      </c>
      <c r="G92" s="2" t="s">
        <v>34</v>
      </c>
      <c r="H92" s="2">
        <v>14336.43</v>
      </c>
    </row>
    <row r="93">
      <c r="A93" s="2" t="s">
        <v>32</v>
      </c>
      <c r="B93" s="6">
        <v>43948.0</v>
      </c>
      <c r="C93" s="2" t="s">
        <v>107</v>
      </c>
      <c r="D93" s="2" t="s">
        <v>4</v>
      </c>
      <c r="E93" s="2" t="s">
        <v>16</v>
      </c>
      <c r="F93" s="2">
        <v>-339.0</v>
      </c>
      <c r="G93" s="2" t="s">
        <v>39</v>
      </c>
      <c r="H93" s="2">
        <v>15240.5</v>
      </c>
    </row>
    <row r="94">
      <c r="A94" s="2" t="s">
        <v>32</v>
      </c>
      <c r="B94" s="6">
        <v>43936.0</v>
      </c>
      <c r="C94" s="2" t="s">
        <v>108</v>
      </c>
      <c r="D94" s="2" t="s">
        <v>5</v>
      </c>
      <c r="E94" s="2" t="s">
        <v>11</v>
      </c>
      <c r="F94" s="2">
        <v>-379.07</v>
      </c>
      <c r="G94" s="2" t="s">
        <v>41</v>
      </c>
      <c r="H94" s="2">
        <v>15579.5</v>
      </c>
    </row>
    <row r="95">
      <c r="A95" s="2" t="s">
        <v>29</v>
      </c>
      <c r="B95" s="6">
        <v>43934.0</v>
      </c>
      <c r="C95" s="2" t="s">
        <v>42</v>
      </c>
      <c r="D95" s="2" t="s">
        <v>3</v>
      </c>
      <c r="E95" s="2" t="s">
        <v>7</v>
      </c>
      <c r="F95" s="2">
        <v>1734.3</v>
      </c>
      <c r="G95" s="2" t="s">
        <v>43</v>
      </c>
      <c r="H95" s="2">
        <v>15958.57</v>
      </c>
    </row>
    <row r="96">
      <c r="A96" s="2" t="s">
        <v>29</v>
      </c>
      <c r="B96" s="6">
        <v>43923.0</v>
      </c>
      <c r="C96" s="2" t="s">
        <v>44</v>
      </c>
      <c r="D96" s="2" t="s">
        <v>5</v>
      </c>
      <c r="E96" s="2" t="s">
        <v>8</v>
      </c>
      <c r="F96" s="2">
        <v>4100.0</v>
      </c>
      <c r="G96" s="2" t="s">
        <v>43</v>
      </c>
      <c r="H96" s="2">
        <v>14224.27</v>
      </c>
    </row>
    <row r="97">
      <c r="A97" s="2" t="s">
        <v>32</v>
      </c>
      <c r="B97" s="6">
        <v>43922.0</v>
      </c>
      <c r="C97" s="2" t="s">
        <v>47</v>
      </c>
      <c r="D97" s="2" t="s">
        <v>5</v>
      </c>
      <c r="E97" s="2" t="s">
        <v>37</v>
      </c>
      <c r="F97" s="2">
        <v>-2887.0</v>
      </c>
      <c r="G97" s="2" t="s">
        <v>41</v>
      </c>
      <c r="H97" s="2">
        <v>10124.27</v>
      </c>
    </row>
    <row r="98">
      <c r="A98" s="2" t="s">
        <v>29</v>
      </c>
      <c r="B98" s="6">
        <v>43921.0</v>
      </c>
      <c r="C98" s="2" t="s">
        <v>65</v>
      </c>
      <c r="D98" s="2" t="s">
        <v>4</v>
      </c>
      <c r="E98" s="2" t="s">
        <v>13</v>
      </c>
      <c r="F98" s="2">
        <v>0.12</v>
      </c>
      <c r="G98" s="2" t="s">
        <v>66</v>
      </c>
      <c r="H98" s="2">
        <v>13011.27</v>
      </c>
    </row>
    <row r="99">
      <c r="A99" s="2" t="s">
        <v>32</v>
      </c>
      <c r="B99" s="6">
        <v>43916.0</v>
      </c>
      <c r="C99" s="2" t="s">
        <v>109</v>
      </c>
      <c r="D99" s="2" t="s">
        <v>3</v>
      </c>
      <c r="E99" s="2" t="s">
        <v>37</v>
      </c>
      <c r="F99" s="2">
        <v>-904.07</v>
      </c>
      <c r="G99" s="2" t="s">
        <v>34</v>
      </c>
      <c r="H99" s="2">
        <v>13011.15</v>
      </c>
    </row>
    <row r="100">
      <c r="A100" s="2" t="s">
        <v>110</v>
      </c>
      <c r="B100" s="6">
        <v>43910.0</v>
      </c>
      <c r="C100" s="2" t="s">
        <v>111</v>
      </c>
      <c r="D100" s="2" t="s">
        <v>4</v>
      </c>
      <c r="E100" s="2" t="s">
        <v>17</v>
      </c>
      <c r="F100" s="2">
        <v>-250.0</v>
      </c>
      <c r="G100" s="2" t="s">
        <v>112</v>
      </c>
      <c r="H100" s="2">
        <v>13915.22</v>
      </c>
      <c r="I100" s="2">
        <v>128.0</v>
      </c>
    </row>
    <row r="101">
      <c r="A101" s="2" t="s">
        <v>32</v>
      </c>
      <c r="B101" s="6">
        <v>43907.0</v>
      </c>
      <c r="C101" s="2" t="s">
        <v>113</v>
      </c>
      <c r="D101" s="2" t="s">
        <v>5</v>
      </c>
      <c r="E101" s="2" t="s">
        <v>11</v>
      </c>
      <c r="F101" s="2">
        <v>-379.07</v>
      </c>
      <c r="G101" s="2" t="s">
        <v>41</v>
      </c>
      <c r="H101" s="2">
        <v>14165.22</v>
      </c>
    </row>
    <row r="102">
      <c r="A102" s="2" t="s">
        <v>32</v>
      </c>
      <c r="B102" s="6">
        <v>43906.0</v>
      </c>
      <c r="C102" s="2" t="s">
        <v>114</v>
      </c>
      <c r="D102" s="2" t="s">
        <v>4</v>
      </c>
      <c r="E102" s="2" t="s">
        <v>11</v>
      </c>
      <c r="F102" s="2">
        <v>-189.0</v>
      </c>
      <c r="G102" s="2" t="s">
        <v>34</v>
      </c>
      <c r="H102" s="2">
        <v>14544.29</v>
      </c>
    </row>
    <row r="103">
      <c r="A103" s="2" t="s">
        <v>29</v>
      </c>
      <c r="B103" s="6">
        <v>43902.0</v>
      </c>
      <c r="C103" s="2" t="s">
        <v>42</v>
      </c>
      <c r="D103" s="2" t="s">
        <v>3</v>
      </c>
      <c r="E103" s="2" t="s">
        <v>7</v>
      </c>
      <c r="F103" s="2">
        <v>1734.3</v>
      </c>
      <c r="G103" s="2" t="s">
        <v>43</v>
      </c>
      <c r="H103" s="2">
        <v>14733.29</v>
      </c>
    </row>
    <row r="104">
      <c r="A104" s="2" t="s">
        <v>32</v>
      </c>
      <c r="B104" s="6">
        <v>43892.0</v>
      </c>
      <c r="C104" s="2" t="s">
        <v>47</v>
      </c>
      <c r="D104" s="2" t="s">
        <v>5</v>
      </c>
      <c r="E104" s="2" t="s">
        <v>37</v>
      </c>
      <c r="F104" s="2">
        <v>-2887.0</v>
      </c>
      <c r="G104" s="2" t="s">
        <v>41</v>
      </c>
      <c r="H104" s="2">
        <v>12998.99</v>
      </c>
    </row>
    <row r="105">
      <c r="A105" s="2" t="s">
        <v>32</v>
      </c>
      <c r="B105" s="6">
        <v>43892.0</v>
      </c>
      <c r="C105" s="2" t="s">
        <v>115</v>
      </c>
      <c r="D105" s="2" t="s">
        <v>4</v>
      </c>
      <c r="E105" s="2" t="s">
        <v>16</v>
      </c>
      <c r="F105" s="2">
        <v>-339.0</v>
      </c>
      <c r="G105" s="2" t="s">
        <v>39</v>
      </c>
      <c r="H105" s="2">
        <v>15885.99</v>
      </c>
    </row>
    <row r="106">
      <c r="A106" s="2" t="s">
        <v>29</v>
      </c>
      <c r="B106" s="6">
        <v>43892.0</v>
      </c>
      <c r="C106" s="2" t="s">
        <v>44</v>
      </c>
      <c r="D106" s="2" t="s">
        <v>5</v>
      </c>
      <c r="E106" s="2" t="s">
        <v>8</v>
      </c>
      <c r="F106" s="2">
        <v>4100.0</v>
      </c>
      <c r="G106" s="2" t="s">
        <v>43</v>
      </c>
      <c r="H106" s="2">
        <v>16224.99</v>
      </c>
    </row>
    <row r="107">
      <c r="A107" s="2" t="s">
        <v>29</v>
      </c>
      <c r="B107" s="6">
        <v>43889.0</v>
      </c>
      <c r="C107" s="2" t="s">
        <v>65</v>
      </c>
      <c r="D107" s="2" t="s">
        <v>4</v>
      </c>
      <c r="E107" s="2" t="s">
        <v>13</v>
      </c>
      <c r="F107" s="2">
        <v>0.11</v>
      </c>
      <c r="G107" s="2" t="s">
        <v>66</v>
      </c>
      <c r="H107" s="2">
        <v>12124.99</v>
      </c>
    </row>
    <row r="108">
      <c r="A108" s="2" t="s">
        <v>32</v>
      </c>
      <c r="B108" s="6">
        <v>43888.0</v>
      </c>
      <c r="C108" s="2" t="s">
        <v>116</v>
      </c>
      <c r="D108" s="2" t="s">
        <v>3</v>
      </c>
      <c r="E108" s="2" t="s">
        <v>37</v>
      </c>
      <c r="F108" s="2">
        <v>-904.07</v>
      </c>
      <c r="G108" s="2" t="s">
        <v>34</v>
      </c>
      <c r="H108" s="2">
        <v>12124.88</v>
      </c>
    </row>
    <row r="109">
      <c r="A109" s="2" t="s">
        <v>29</v>
      </c>
      <c r="B109" s="6">
        <v>43881.0</v>
      </c>
      <c r="C109" s="2" t="s">
        <v>44</v>
      </c>
      <c r="D109" s="2" t="s">
        <v>5</v>
      </c>
      <c r="E109" s="2" t="s">
        <v>8</v>
      </c>
      <c r="F109" s="2">
        <v>8200.0</v>
      </c>
      <c r="G109" s="2" t="s">
        <v>43</v>
      </c>
      <c r="H109" s="2">
        <v>13028.95</v>
      </c>
    </row>
    <row r="110">
      <c r="A110" s="2" t="s">
        <v>32</v>
      </c>
      <c r="B110" s="6">
        <v>43879.0</v>
      </c>
      <c r="C110" s="2" t="s">
        <v>117</v>
      </c>
      <c r="D110" s="2" t="s">
        <v>5</v>
      </c>
      <c r="E110" s="2" t="s">
        <v>11</v>
      </c>
      <c r="F110" s="2">
        <v>-379.07</v>
      </c>
      <c r="G110" s="2" t="s">
        <v>41</v>
      </c>
      <c r="H110" s="2">
        <v>4828.95</v>
      </c>
    </row>
    <row r="111">
      <c r="A111" s="2" t="s">
        <v>29</v>
      </c>
      <c r="B111" s="6">
        <v>43874.0</v>
      </c>
      <c r="C111" s="2" t="s">
        <v>42</v>
      </c>
      <c r="D111" s="2" t="s">
        <v>3</v>
      </c>
      <c r="E111" s="2" t="s">
        <v>7</v>
      </c>
      <c r="F111" s="2">
        <v>1734.3</v>
      </c>
      <c r="G111" s="2" t="s">
        <v>43</v>
      </c>
      <c r="H111" s="2">
        <v>5208.02</v>
      </c>
    </row>
    <row r="112">
      <c r="A112" s="2" t="s">
        <v>32</v>
      </c>
      <c r="B112" s="6">
        <v>43872.0</v>
      </c>
      <c r="C112" s="2" t="s">
        <v>118</v>
      </c>
      <c r="D112" s="2" t="s">
        <v>3</v>
      </c>
      <c r="E112" s="2" t="s">
        <v>15</v>
      </c>
      <c r="F112" s="2">
        <v>-1.0</v>
      </c>
      <c r="G112" s="2" t="s">
        <v>41</v>
      </c>
      <c r="H112" s="2">
        <v>3473.72</v>
      </c>
    </row>
    <row r="113">
      <c r="A113" s="2" t="s">
        <v>32</v>
      </c>
      <c r="B113" s="6">
        <v>43872.0</v>
      </c>
      <c r="C113" s="2" t="s">
        <v>119</v>
      </c>
      <c r="D113" s="2" t="s">
        <v>4</v>
      </c>
      <c r="E113" s="2" t="s">
        <v>15</v>
      </c>
      <c r="F113" s="2">
        <v>-5114.88</v>
      </c>
      <c r="G113" s="2" t="s">
        <v>41</v>
      </c>
      <c r="H113" s="2">
        <v>3474.72</v>
      </c>
    </row>
    <row r="114">
      <c r="A114" s="2" t="s">
        <v>32</v>
      </c>
      <c r="B114" s="6">
        <v>43871.0</v>
      </c>
      <c r="C114" s="2" t="s">
        <v>120</v>
      </c>
      <c r="D114" s="2" t="s">
        <v>3</v>
      </c>
      <c r="E114" s="2" t="s">
        <v>15</v>
      </c>
      <c r="F114" s="2">
        <v>-6783.73</v>
      </c>
      <c r="G114" s="2" t="s">
        <v>41</v>
      </c>
      <c r="H114" s="2">
        <v>8589.6</v>
      </c>
    </row>
    <row r="115">
      <c r="A115" s="2" t="s">
        <v>32</v>
      </c>
      <c r="B115" s="6">
        <v>43871.0</v>
      </c>
      <c r="C115" s="2" t="s">
        <v>121</v>
      </c>
      <c r="D115" s="2" t="s">
        <v>5</v>
      </c>
      <c r="E115" s="2" t="s">
        <v>15</v>
      </c>
      <c r="F115" s="2">
        <v>-9614.32</v>
      </c>
      <c r="G115" s="2" t="s">
        <v>41</v>
      </c>
      <c r="H115" s="2">
        <v>15373.33</v>
      </c>
    </row>
    <row r="116">
      <c r="A116" s="2" t="s">
        <v>32</v>
      </c>
      <c r="B116" s="6">
        <v>43871.0</v>
      </c>
      <c r="C116" s="2" t="s">
        <v>122</v>
      </c>
      <c r="D116" s="2" t="s">
        <v>4</v>
      </c>
      <c r="E116" s="2" t="s">
        <v>19</v>
      </c>
      <c r="F116" s="2">
        <v>-58.35</v>
      </c>
      <c r="G116" s="2" t="s">
        <v>34</v>
      </c>
      <c r="H116" s="2">
        <v>24987.65</v>
      </c>
    </row>
    <row r="117">
      <c r="A117" s="2" t="s">
        <v>32</v>
      </c>
      <c r="B117" s="6">
        <v>43871.0</v>
      </c>
      <c r="C117" s="2" t="s">
        <v>123</v>
      </c>
      <c r="D117" s="2" t="s">
        <v>4</v>
      </c>
      <c r="E117" s="2" t="s">
        <v>11</v>
      </c>
      <c r="F117" s="2">
        <v>-417.0</v>
      </c>
      <c r="G117" s="2" t="s">
        <v>34</v>
      </c>
      <c r="H117" s="2">
        <v>25046.0</v>
      </c>
    </row>
    <row r="118">
      <c r="A118" s="2" t="s">
        <v>110</v>
      </c>
      <c r="B118" s="6">
        <v>43868.0</v>
      </c>
      <c r="C118" s="2" t="s">
        <v>124</v>
      </c>
      <c r="D118" s="2" t="s">
        <v>4</v>
      </c>
      <c r="E118" s="2" t="s">
        <v>17</v>
      </c>
      <c r="F118" s="2">
        <v>-300.0</v>
      </c>
      <c r="G118" s="2" t="s">
        <v>112</v>
      </c>
      <c r="H118" s="2">
        <v>25463.0</v>
      </c>
      <c r="I118" s="2">
        <v>126.0</v>
      </c>
    </row>
    <row r="119">
      <c r="A119" s="2" t="s">
        <v>32</v>
      </c>
      <c r="B119" s="6">
        <v>43864.0</v>
      </c>
      <c r="C119" s="2" t="s">
        <v>47</v>
      </c>
      <c r="D119" s="2" t="s">
        <v>5</v>
      </c>
      <c r="E119" s="2" t="s">
        <v>37</v>
      </c>
      <c r="F119" s="2">
        <v>-2887.0</v>
      </c>
      <c r="G119" s="2" t="s">
        <v>41</v>
      </c>
      <c r="H119" s="2">
        <v>25763.0</v>
      </c>
    </row>
    <row r="120">
      <c r="A120" s="2" t="s">
        <v>29</v>
      </c>
      <c r="B120" s="6">
        <v>43864.0</v>
      </c>
      <c r="C120" s="2" t="s">
        <v>44</v>
      </c>
      <c r="D120" s="2" t="s">
        <v>5</v>
      </c>
      <c r="E120" s="2" t="s">
        <v>8</v>
      </c>
      <c r="F120" s="2">
        <v>4100.0</v>
      </c>
      <c r="G120" s="2" t="s">
        <v>43</v>
      </c>
      <c r="H120" s="2">
        <v>28650.0</v>
      </c>
    </row>
    <row r="121">
      <c r="A121" s="2" t="s">
        <v>29</v>
      </c>
      <c r="B121" s="6">
        <v>43861.0</v>
      </c>
      <c r="C121" s="2" t="s">
        <v>65</v>
      </c>
      <c r="D121" s="2" t="s">
        <v>4</v>
      </c>
      <c r="E121" s="2" t="s">
        <v>13</v>
      </c>
      <c r="F121" s="2">
        <v>0.14</v>
      </c>
      <c r="G121" s="2" t="s">
        <v>66</v>
      </c>
      <c r="H121" s="2">
        <v>24550.0</v>
      </c>
    </row>
    <row r="122">
      <c r="A122" s="2" t="s">
        <v>32</v>
      </c>
      <c r="B122" s="6">
        <v>43861.0</v>
      </c>
      <c r="C122" s="2" t="s">
        <v>125</v>
      </c>
      <c r="D122" s="2" t="s">
        <v>4</v>
      </c>
      <c r="E122" s="2" t="s">
        <v>10</v>
      </c>
      <c r="F122" s="2">
        <v>-1478.3</v>
      </c>
      <c r="G122" s="2" t="s">
        <v>39</v>
      </c>
      <c r="H122" s="2">
        <v>24549.86</v>
      </c>
    </row>
    <row r="123">
      <c r="A123" s="2" t="s">
        <v>110</v>
      </c>
      <c r="B123" s="6">
        <v>43857.0</v>
      </c>
      <c r="C123" s="2" t="s">
        <v>126</v>
      </c>
      <c r="D123" s="2" t="s">
        <v>4</v>
      </c>
      <c r="E123" s="2" t="s">
        <v>17</v>
      </c>
      <c r="F123" s="2">
        <v>-40.0</v>
      </c>
      <c r="G123" s="2" t="s">
        <v>112</v>
      </c>
      <c r="H123" s="2">
        <v>26028.16</v>
      </c>
      <c r="I123" s="2">
        <v>125.0</v>
      </c>
    </row>
    <row r="124">
      <c r="A124" s="2" t="s">
        <v>32</v>
      </c>
      <c r="B124" s="6">
        <v>43857.0</v>
      </c>
      <c r="C124" s="2" t="s">
        <v>127</v>
      </c>
      <c r="D124" s="2" t="s">
        <v>3</v>
      </c>
      <c r="E124" s="2" t="s">
        <v>37</v>
      </c>
      <c r="F124" s="2">
        <v>-904.07</v>
      </c>
      <c r="G124" s="2" t="s">
        <v>34</v>
      </c>
      <c r="H124" s="2">
        <v>26068.16</v>
      </c>
    </row>
    <row r="125">
      <c r="A125" s="2" t="s">
        <v>32</v>
      </c>
      <c r="B125" s="6">
        <v>43853.0</v>
      </c>
      <c r="C125" s="2" t="s">
        <v>128</v>
      </c>
      <c r="D125" s="2" t="s">
        <v>4</v>
      </c>
      <c r="E125" s="2" t="s">
        <v>12</v>
      </c>
      <c r="F125" s="2">
        <v>-713.0</v>
      </c>
      <c r="G125" s="2" t="s">
        <v>41</v>
      </c>
      <c r="H125" s="2">
        <v>26972.23</v>
      </c>
    </row>
    <row r="126">
      <c r="A126" s="2" t="s">
        <v>32</v>
      </c>
      <c r="B126" s="6">
        <v>43852.0</v>
      </c>
      <c r="C126" s="2" t="s">
        <v>129</v>
      </c>
      <c r="D126" s="2" t="s">
        <v>3</v>
      </c>
      <c r="E126" s="2" t="s">
        <v>12</v>
      </c>
      <c r="F126" s="2">
        <v>-703.77</v>
      </c>
      <c r="G126" s="2" t="s">
        <v>41</v>
      </c>
      <c r="H126" s="2">
        <v>27685.23</v>
      </c>
    </row>
    <row r="127">
      <c r="A127" s="2" t="s">
        <v>110</v>
      </c>
      <c r="B127" s="6">
        <v>43852.0</v>
      </c>
      <c r="C127" s="2" t="s">
        <v>130</v>
      </c>
      <c r="D127" s="2" t="s">
        <v>4</v>
      </c>
      <c r="E127" s="2" t="s">
        <v>17</v>
      </c>
      <c r="F127" s="2">
        <v>-1770.0</v>
      </c>
      <c r="G127" s="2" t="s">
        <v>112</v>
      </c>
      <c r="H127" s="2">
        <v>28389.0</v>
      </c>
      <c r="I127" s="2">
        <v>124.0</v>
      </c>
    </row>
    <row r="128">
      <c r="A128" s="2" t="s">
        <v>32</v>
      </c>
      <c r="B128" s="6">
        <v>43845.0</v>
      </c>
      <c r="C128" s="2" t="s">
        <v>131</v>
      </c>
      <c r="D128" s="2" t="s">
        <v>5</v>
      </c>
      <c r="E128" s="2" t="s">
        <v>11</v>
      </c>
      <c r="F128" s="2">
        <v>-379.07</v>
      </c>
      <c r="G128" s="2" t="s">
        <v>41</v>
      </c>
      <c r="H128" s="2">
        <v>30159.0</v>
      </c>
    </row>
    <row r="129">
      <c r="A129" s="2" t="s">
        <v>32</v>
      </c>
      <c r="B129" s="6">
        <v>43845.0</v>
      </c>
      <c r="C129" s="2" t="s">
        <v>132</v>
      </c>
      <c r="D129" s="2" t="s">
        <v>4</v>
      </c>
      <c r="E129" s="2" t="s">
        <v>16</v>
      </c>
      <c r="F129" s="2">
        <v>-164.0</v>
      </c>
      <c r="G129" s="2" t="s">
        <v>39</v>
      </c>
      <c r="H129" s="2">
        <v>30538.07</v>
      </c>
    </row>
    <row r="130">
      <c r="A130" s="2" t="s">
        <v>32</v>
      </c>
      <c r="B130" s="6">
        <v>43845.0</v>
      </c>
      <c r="C130" s="2" t="s">
        <v>133</v>
      </c>
      <c r="D130" s="2" t="s">
        <v>4</v>
      </c>
      <c r="E130" s="2" t="s">
        <v>16</v>
      </c>
      <c r="F130" s="2">
        <v>-164.0</v>
      </c>
      <c r="G130" s="2" t="s">
        <v>39</v>
      </c>
      <c r="H130" s="2">
        <v>30702.07</v>
      </c>
    </row>
    <row r="131">
      <c r="A131" s="2" t="s">
        <v>32</v>
      </c>
      <c r="B131" s="6">
        <v>43845.0</v>
      </c>
      <c r="C131" s="2" t="s">
        <v>134</v>
      </c>
      <c r="D131" s="2" t="s">
        <v>4</v>
      </c>
      <c r="E131" s="2" t="s">
        <v>16</v>
      </c>
      <c r="F131" s="2">
        <v>-164.0</v>
      </c>
      <c r="G131" s="2" t="s">
        <v>39</v>
      </c>
      <c r="H131" s="2">
        <v>30866.07</v>
      </c>
    </row>
    <row r="132">
      <c r="A132" s="2" t="s">
        <v>61</v>
      </c>
      <c r="B132" s="6">
        <v>43845.0</v>
      </c>
      <c r="C132" s="2" t="s">
        <v>135</v>
      </c>
      <c r="D132" s="2" t="s">
        <v>4</v>
      </c>
      <c r="E132" s="2" t="s">
        <v>8</v>
      </c>
      <c r="F132" s="2">
        <v>25500.0</v>
      </c>
      <c r="G132" s="2" t="s">
        <v>136</v>
      </c>
      <c r="H132" s="2">
        <v>31030.07</v>
      </c>
    </row>
    <row r="133">
      <c r="A133" s="2" t="s">
        <v>29</v>
      </c>
      <c r="B133" s="6">
        <v>43843.0</v>
      </c>
      <c r="C133" s="2" t="s">
        <v>42</v>
      </c>
      <c r="D133" s="2" t="s">
        <v>3</v>
      </c>
      <c r="E133" s="2" t="s">
        <v>7</v>
      </c>
      <c r="F133" s="2">
        <v>1590.3</v>
      </c>
      <c r="G133" s="2" t="s">
        <v>43</v>
      </c>
      <c r="H133" s="2">
        <v>5530.07</v>
      </c>
    </row>
    <row r="134">
      <c r="A134" s="2" t="s">
        <v>29</v>
      </c>
      <c r="B134" s="6">
        <v>43836.0</v>
      </c>
      <c r="C134" s="2" t="s">
        <v>44</v>
      </c>
      <c r="D134" s="2" t="s">
        <v>5</v>
      </c>
      <c r="E134" s="2" t="s">
        <v>8</v>
      </c>
      <c r="F134" s="2">
        <v>4100.0</v>
      </c>
      <c r="G134" s="2" t="s">
        <v>43</v>
      </c>
      <c r="H134" s="2">
        <v>3939.77</v>
      </c>
    </row>
    <row r="135">
      <c r="A135" s="2" t="s">
        <v>32</v>
      </c>
      <c r="B135" s="6">
        <v>43832.0</v>
      </c>
      <c r="C135" s="2" t="s">
        <v>47</v>
      </c>
      <c r="D135" s="2" t="s">
        <v>5</v>
      </c>
      <c r="E135" s="2" t="s">
        <v>37</v>
      </c>
      <c r="F135" s="2">
        <v>-2887.0</v>
      </c>
      <c r="G135" s="2" t="s">
        <v>41</v>
      </c>
      <c r="H135" s="2">
        <v>-160.23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7"/>
      <c r="B1" s="8" t="s">
        <v>137</v>
      </c>
      <c r="C1" s="8" t="s">
        <v>138</v>
      </c>
      <c r="D1" s="8" t="s">
        <v>139</v>
      </c>
    </row>
    <row r="2">
      <c r="A2" s="8" t="s">
        <v>140</v>
      </c>
      <c r="B2" s="9">
        <v>951032.67</v>
      </c>
      <c r="C2" s="9">
        <v>471509.08</v>
      </c>
      <c r="D2" s="9">
        <v>1422541.75</v>
      </c>
    </row>
    <row r="3">
      <c r="A3" s="7"/>
      <c r="B3" s="7"/>
      <c r="C3" s="7"/>
      <c r="D3" s="7"/>
    </row>
    <row r="4">
      <c r="A4" s="8" t="s">
        <v>14</v>
      </c>
      <c r="B4" s="9">
        <f>D$4/D$2*B2</f>
        <v>13852.19826</v>
      </c>
      <c r="C4" s="9">
        <f>D4/D2*C2</f>
        <v>6867.731743</v>
      </c>
      <c r="D4" s="9">
        <v>20719.93</v>
      </c>
    </row>
  </sheetData>
  <drawing r:id="rId1"/>
</worksheet>
</file>